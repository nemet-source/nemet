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  <sheet name="Cotizador_Rendimientos" sheetId="2" state="visible" r:id="rId2"/>
    <sheet name="Cat_Productos" sheetId="3" state="visible" r:id="rId3"/>
    <sheet name="Clientes" sheetId="4" state="visible" r:id="rId4"/>
    <sheet name="Historial_Cotizaciones" sheetId="5" state="visible" r:id="rId5"/>
    <sheet name="Escalas_Precios_K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 &quot;kg&quot;"/>
    <numFmt numFmtId="165" formatCode="$#,##0"/>
    <numFmt numFmtId="166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DE INVENTARIO Y FACTURACIÓN - NEMET</t>
        </is>
      </c>
    </row>
    <row r="2">
      <c r="A2" t="inlineStr">
        <is>
          <t>SKU</t>
        </is>
      </c>
      <c r="B2" t="inlineStr">
        <is>
          <t>Descripcion</t>
        </is>
      </c>
      <c r="C2" t="inlineStr">
        <is>
          <t>Presentacion</t>
        </is>
      </c>
      <c r="D2" t="inlineStr">
        <is>
          <t>StockMinimo</t>
        </is>
      </c>
      <c r="E2" t="inlineStr">
        <is>
          <t>StockInicial</t>
        </is>
      </c>
      <c r="F2" t="inlineStr">
        <is>
          <t>Entradas</t>
        </is>
      </c>
      <c r="G2" t="inlineStr">
        <is>
          <t>Salidas</t>
        </is>
      </c>
      <c r="H2" t="inlineStr">
        <is>
          <t>StockActual</t>
        </is>
      </c>
      <c r="I2" t="inlineStr">
        <is>
          <t>AlertaStock</t>
        </is>
      </c>
      <c r="J2" t="inlineStr">
        <is>
          <t>PrecioCompra</t>
        </is>
      </c>
      <c r="K2" t="inlineStr">
        <is>
          <t>PrecioBaseSinIVA</t>
        </is>
      </c>
      <c r="L2" t="inlineStr">
        <is>
          <t>IVA 16%</t>
        </is>
      </c>
      <c r="M2" t="inlineStr">
        <is>
          <t>PrecioPublicoIVA</t>
        </is>
      </c>
      <c r="N2" t="inlineStr">
        <is>
          <t>ValorInventario</t>
        </is>
      </c>
      <c r="O2" t="inlineStr">
        <is>
          <t>Línea</t>
        </is>
      </c>
    </row>
    <row r="3">
      <c r="A3" t="inlineStr">
        <is>
          <t>EDT 01</t>
        </is>
      </c>
      <c r="B3" t="inlineStr">
        <is>
          <t>EPO-DEEP TRANSPARENTE</t>
        </is>
      </c>
      <c r="C3" t="inlineStr">
        <is>
          <t>1.420 kg</t>
        </is>
      </c>
      <c r="D3" t="n">
        <v>5</v>
      </c>
      <c r="E3" t="n">
        <v>0</v>
      </c>
      <c r="F3" t="n">
        <v>0</v>
      </c>
      <c r="G3" t="n">
        <v>0</v>
      </c>
      <c r="H3" t="n">
        <v>0</v>
      </c>
      <c r="I3" t="inlineStr">
        <is>
          <t>⚠️ REABASTECER</t>
        </is>
      </c>
      <c r="J3" t="n">
        <v>655.87</v>
      </c>
      <c r="K3" t="n">
        <v>685.344828</v>
      </c>
      <c r="L3" t="n">
        <v>109.655172</v>
      </c>
      <c r="M3" t="n">
        <v>795</v>
      </c>
      <c r="N3" t="n">
        <v>0</v>
      </c>
      <c r="O3" t="inlineStr">
        <is>
          <t>Resina</t>
        </is>
      </c>
    </row>
    <row r="4">
      <c r="A4" t="inlineStr">
        <is>
          <t>EDT 02</t>
        </is>
      </c>
      <c r="B4" t="inlineStr">
        <is>
          <t>EPO-DEEP TRANSPARENTE</t>
        </is>
      </c>
      <c r="C4" t="inlineStr">
        <is>
          <t>4.260 kg</t>
        </is>
      </c>
      <c r="D4" t="n">
        <v>5</v>
      </c>
      <c r="E4" t="n">
        <v>0</v>
      </c>
      <c r="F4" t="n">
        <v>0</v>
      </c>
      <c r="G4" t="n">
        <v>0</v>
      </c>
      <c r="H4" t="n">
        <v>0</v>
      </c>
      <c r="I4" t="inlineStr">
        <is>
          <t>⚠️ REABASTECER</t>
        </is>
      </c>
      <c r="J4" t="n">
        <v>1967.61</v>
      </c>
      <c r="K4" t="n">
        <v>2056.896552</v>
      </c>
      <c r="L4" t="n">
        <v>329.103448</v>
      </c>
      <c r="M4" t="n">
        <v>2386</v>
      </c>
      <c r="N4" t="n">
        <v>0</v>
      </c>
      <c r="O4" t="inlineStr">
        <is>
          <t>Resina</t>
        </is>
      </c>
    </row>
    <row r="5">
      <c r="A5" t="inlineStr">
        <is>
          <t>EDT 03</t>
        </is>
      </c>
      <c r="B5" t="inlineStr">
        <is>
          <t>EPO-DEEP TRANSPARENTE</t>
        </is>
      </c>
      <c r="C5" t="inlineStr">
        <is>
          <t>7.100 kg</t>
        </is>
      </c>
      <c r="D5" t="n">
        <v>5</v>
      </c>
      <c r="E5" t="n">
        <v>0</v>
      </c>
      <c r="F5" t="n">
        <v>0</v>
      </c>
      <c r="G5" t="n">
        <v>0</v>
      </c>
      <c r="H5" t="n">
        <v>0</v>
      </c>
      <c r="I5" t="inlineStr">
        <is>
          <t>⚠️ REABASTECER</t>
        </is>
      </c>
      <c r="J5" t="n">
        <v>3015.44</v>
      </c>
      <c r="K5" t="n">
        <v>3182.758621</v>
      </c>
      <c r="L5" t="n">
        <v>509.241379</v>
      </c>
      <c r="M5" t="n">
        <v>3692</v>
      </c>
      <c r="N5" t="n">
        <v>0</v>
      </c>
      <c r="O5" t="inlineStr">
        <is>
          <t>Resina</t>
        </is>
      </c>
    </row>
    <row r="6">
      <c r="A6" t="inlineStr">
        <is>
          <t>EDT 04</t>
        </is>
      </c>
      <c r="B6" t="inlineStr">
        <is>
          <t>EPO-DEEP TRANSPARENTE</t>
        </is>
      </c>
      <c r="C6" t="inlineStr">
        <is>
          <t>17.040 kg</t>
        </is>
      </c>
      <c r="D6" t="n">
        <v>5</v>
      </c>
      <c r="E6" t="n">
        <v>0</v>
      </c>
      <c r="F6" t="n">
        <v>0</v>
      </c>
      <c r="G6" t="n">
        <v>0</v>
      </c>
      <c r="H6" t="n">
        <v>0</v>
      </c>
      <c r="I6" t="inlineStr">
        <is>
          <t>⚠️ REABASTECER</t>
        </is>
      </c>
      <c r="J6" t="n">
        <v>6635.89</v>
      </c>
      <c r="K6" t="n">
        <v>7344.827586</v>
      </c>
      <c r="L6" t="n">
        <v>1175.172414</v>
      </c>
      <c r="M6" t="n">
        <v>8520</v>
      </c>
      <c r="N6" t="n">
        <v>0</v>
      </c>
      <c r="O6" t="inlineStr">
        <is>
          <t>Resina</t>
        </is>
      </c>
    </row>
    <row r="7">
      <c r="A7" t="inlineStr">
        <is>
          <t>EFT 01</t>
        </is>
      </c>
      <c r="B7" t="inlineStr">
        <is>
          <t>EPO-FAST (A Y B) TRANSPARENTE</t>
        </is>
      </c>
      <c r="C7" t="inlineStr">
        <is>
          <t>2 kg</t>
        </is>
      </c>
      <c r="D7" t="n">
        <v>5</v>
      </c>
      <c r="E7" t="n">
        <v>0</v>
      </c>
      <c r="F7" t="n">
        <v>0</v>
      </c>
      <c r="G7" t="n">
        <v>0</v>
      </c>
      <c r="H7" t="n">
        <v>0</v>
      </c>
      <c r="I7" t="inlineStr">
        <is>
          <t>⚠️ REABASTECER</t>
        </is>
      </c>
      <c r="J7" t="n">
        <v>784.48</v>
      </c>
      <c r="K7" t="n">
        <v>827.5862069999999</v>
      </c>
      <c r="L7" t="n">
        <v>132.413793</v>
      </c>
      <c r="M7" t="n">
        <v>960</v>
      </c>
      <c r="N7" t="n">
        <v>0</v>
      </c>
      <c r="O7" t="inlineStr">
        <is>
          <t>Resina</t>
        </is>
      </c>
    </row>
    <row r="8">
      <c r="A8" t="inlineStr">
        <is>
          <t>EFT 02</t>
        </is>
      </c>
      <c r="B8" t="inlineStr">
        <is>
          <t>EPO-FAST (A Y B) TRANSPARENTE</t>
        </is>
      </c>
      <c r="C8" t="inlineStr">
        <is>
          <t>6 kg</t>
        </is>
      </c>
      <c r="D8" t="n">
        <v>5</v>
      </c>
      <c r="E8" t="n">
        <v>0</v>
      </c>
      <c r="F8" t="n">
        <v>0</v>
      </c>
      <c r="G8" t="n">
        <v>0</v>
      </c>
      <c r="H8" t="n">
        <v>0</v>
      </c>
      <c r="I8" t="inlineStr">
        <is>
          <t>⚠️ REABASTECER</t>
        </is>
      </c>
      <c r="J8" t="n">
        <v>2241.3</v>
      </c>
      <c r="K8" t="n">
        <v>2379.310345</v>
      </c>
      <c r="L8" t="n">
        <v>380.689655</v>
      </c>
      <c r="M8" t="n">
        <v>2760</v>
      </c>
      <c r="N8" t="n">
        <v>0</v>
      </c>
      <c r="O8" t="inlineStr">
        <is>
          <t>Resina</t>
        </is>
      </c>
    </row>
    <row r="9">
      <c r="A9" t="inlineStr">
        <is>
          <t>EFT 03</t>
        </is>
      </c>
      <c r="B9" t="inlineStr">
        <is>
          <t>EPO-FAST (A Y B) TRANSPARENTE</t>
        </is>
      </c>
      <c r="C9" t="inlineStr">
        <is>
          <t>10 kg</t>
        </is>
      </c>
      <c r="D9" t="n">
        <v>5</v>
      </c>
      <c r="E9" t="n">
        <v>0</v>
      </c>
      <c r="F9" t="n">
        <v>0</v>
      </c>
      <c r="G9" t="n">
        <v>0</v>
      </c>
      <c r="H9" t="n">
        <v>0</v>
      </c>
      <c r="I9" t="inlineStr">
        <is>
          <t>⚠️ REABASTECER</t>
        </is>
      </c>
      <c r="J9" t="n">
        <v>3557.7</v>
      </c>
      <c r="K9" t="n">
        <v>3793.103448</v>
      </c>
      <c r="L9" t="n">
        <v>606.896552</v>
      </c>
      <c r="M9" t="n">
        <v>4400</v>
      </c>
      <c r="N9" t="n">
        <v>0</v>
      </c>
      <c r="O9" t="inlineStr">
        <is>
          <t>Resina</t>
        </is>
      </c>
    </row>
    <row r="10">
      <c r="A10" t="inlineStr">
        <is>
          <t>EFT 04</t>
        </is>
      </c>
      <c r="B10" t="inlineStr">
        <is>
          <t>EPO-FAST (A Y B) TRANSPARENTE</t>
        </is>
      </c>
      <c r="C10" t="inlineStr">
        <is>
          <t>19 kg</t>
        </is>
      </c>
      <c r="D10" t="n">
        <v>5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⚠️ REABASTECER</t>
        </is>
      </c>
      <c r="J10" t="n">
        <v>6186.02</v>
      </c>
      <c r="K10" t="n">
        <v>6879.310345</v>
      </c>
      <c r="L10" t="n">
        <v>1100.689655</v>
      </c>
      <c r="M10" t="n">
        <v>7980</v>
      </c>
      <c r="N10" t="n">
        <v>0</v>
      </c>
      <c r="O10" t="inlineStr">
        <is>
          <t>Resina</t>
        </is>
      </c>
    </row>
    <row r="11">
      <c r="A11" t="inlineStr">
        <is>
          <t>EPT 01</t>
        </is>
      </c>
      <c r="B11" t="inlineStr">
        <is>
          <t>EPOXY PISOS (A Y B) TRANSPARENTE</t>
        </is>
      </c>
      <c r="C11" t="inlineStr">
        <is>
          <t>1.5 kg</t>
        </is>
      </c>
      <c r="D11" t="n">
        <v>5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⚠️ REABASTECER</t>
        </is>
      </c>
      <c r="J11" t="n">
        <v>542.13</v>
      </c>
      <c r="K11" t="n">
        <v>620.689655</v>
      </c>
      <c r="L11" t="n">
        <v>99.310345</v>
      </c>
      <c r="M11" t="n">
        <v>720</v>
      </c>
      <c r="N11" t="n">
        <v>0</v>
      </c>
      <c r="O11" t="inlineStr">
        <is>
          <t>Resina</t>
        </is>
      </c>
    </row>
    <row r="12">
      <c r="A12" t="inlineStr">
        <is>
          <t>EPT 02</t>
        </is>
      </c>
      <c r="B12" t="inlineStr">
        <is>
          <t>EPOXY PISOS (A Y B) TRANSPARENTE</t>
        </is>
      </c>
      <c r="C12" t="inlineStr">
        <is>
          <t>3 kg</t>
        </is>
      </c>
      <c r="D12" t="n">
        <v>5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⚠️ REABASTECER</t>
        </is>
      </c>
      <c r="J12" t="n">
        <v>1084.26</v>
      </c>
      <c r="K12" t="n">
        <v>1241.37931</v>
      </c>
      <c r="L12" t="n">
        <v>198.62069</v>
      </c>
      <c r="M12" t="n">
        <v>1440</v>
      </c>
      <c r="N12" t="n">
        <v>0</v>
      </c>
      <c r="O12" t="inlineStr">
        <is>
          <t>Resina</t>
        </is>
      </c>
    </row>
    <row r="13">
      <c r="A13" t="inlineStr">
        <is>
          <t>EPT 03</t>
        </is>
      </c>
      <c r="B13" t="inlineStr">
        <is>
          <t>EPOXY PISOS (A Y B) TRANSPARENTE</t>
        </is>
      </c>
      <c r="C13" t="inlineStr">
        <is>
          <t>6 kg</t>
        </is>
      </c>
      <c r="D13" t="n">
        <v>5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⚠️ REABASTECER</t>
        </is>
      </c>
      <c r="J13" t="n">
        <v>2076.12</v>
      </c>
      <c r="K13" t="n">
        <v>2379.310345</v>
      </c>
      <c r="L13" t="n">
        <v>380.689655</v>
      </c>
      <c r="M13" t="n">
        <v>2760</v>
      </c>
      <c r="N13" t="n">
        <v>0</v>
      </c>
      <c r="O13" t="inlineStr">
        <is>
          <t>Resina</t>
        </is>
      </c>
    </row>
    <row r="14">
      <c r="A14" t="inlineStr">
        <is>
          <t>EPT 04</t>
        </is>
      </c>
      <c r="B14" t="inlineStr">
        <is>
          <t>EPOXY PISOS (A Y B) TRANSPARENTE</t>
        </is>
      </c>
      <c r="C14" t="inlineStr">
        <is>
          <t>10 kg</t>
        </is>
      </c>
      <c r="D14" t="n">
        <v>5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⚠️ REABASTECER</t>
        </is>
      </c>
      <c r="J14" t="n">
        <v>3329.5</v>
      </c>
      <c r="K14" t="n">
        <v>3793.103448</v>
      </c>
      <c r="L14" t="n">
        <v>606.896552</v>
      </c>
      <c r="M14" t="n">
        <v>4400</v>
      </c>
      <c r="N14" t="n">
        <v>0</v>
      </c>
      <c r="O14" t="inlineStr">
        <is>
          <t>Resina</t>
        </is>
      </c>
    </row>
    <row r="15">
      <c r="A15" t="inlineStr">
        <is>
          <t>EPT 05</t>
        </is>
      </c>
      <c r="B15" t="inlineStr">
        <is>
          <t>EPOXY PISOS (A Y B) TRANSPARENTE</t>
        </is>
      </c>
      <c r="C15" t="inlineStr">
        <is>
          <t>15 kg</t>
        </is>
      </c>
      <c r="D15" t="n">
        <v>5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⚠️ REABASTECER</t>
        </is>
      </c>
      <c r="J15" t="n">
        <v>4752</v>
      </c>
      <c r="K15" t="n">
        <v>5431.034483</v>
      </c>
      <c r="L15" t="n">
        <v>868.965517</v>
      </c>
      <c r="M15" t="n">
        <v>6300</v>
      </c>
      <c r="N15" t="n">
        <v>0</v>
      </c>
      <c r="O15" t="inlineStr">
        <is>
          <t>Resina</t>
        </is>
      </c>
    </row>
    <row r="16">
      <c r="A16" t="inlineStr">
        <is>
          <t>EPT 06</t>
        </is>
      </c>
      <c r="B16" t="inlineStr">
        <is>
          <t>EPOXY PISOS (A Y B) TRANSPARENTE</t>
        </is>
      </c>
      <c r="C16" t="inlineStr">
        <is>
          <t>20 kg</t>
        </is>
      </c>
      <c r="D16" t="n">
        <v>5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⚠️ REABASTECER</t>
        </is>
      </c>
      <c r="J16" t="n">
        <v>6029</v>
      </c>
      <c r="K16" t="n">
        <v>6896.551724</v>
      </c>
      <c r="L16" t="n">
        <v>1103.448276</v>
      </c>
      <c r="M16" t="n">
        <v>8000</v>
      </c>
      <c r="N16" t="n">
        <v>0</v>
      </c>
      <c r="O16" t="inlineStr">
        <is>
          <t>Resina</t>
        </is>
      </c>
    </row>
    <row r="17">
      <c r="A17" t="inlineStr">
        <is>
          <t>EPRT 01</t>
        </is>
      </c>
      <c r="B17" t="inlineStr">
        <is>
          <t>EPOXY PRIMER (A Y B) TRANSPARENTE</t>
        </is>
      </c>
      <c r="C17" t="inlineStr">
        <is>
          <t>1.350 kg</t>
        </is>
      </c>
      <c r="D17" t="n">
        <v>5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⚠️ REABASTECER</t>
        </is>
      </c>
      <c r="J17" t="n">
        <v>537.29</v>
      </c>
      <c r="K17" t="n">
        <v>465.517241</v>
      </c>
      <c r="L17" t="n">
        <v>74.482759</v>
      </c>
      <c r="M17" t="n">
        <v>540</v>
      </c>
      <c r="N17" t="n">
        <v>0</v>
      </c>
      <c r="O17" t="inlineStr">
        <is>
          <t>Resina</t>
        </is>
      </c>
    </row>
    <row r="18">
      <c r="A18" t="inlineStr">
        <is>
          <t>EPRT 02</t>
        </is>
      </c>
      <c r="B18" t="inlineStr">
        <is>
          <t>EPOXY PRIMER (A Y B) TRANSPARENTE</t>
        </is>
      </c>
      <c r="C18" t="inlineStr">
        <is>
          <t>10 kg</t>
        </is>
      </c>
      <c r="D18" t="n">
        <v>5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⚠️ REABASTECER</t>
        </is>
      </c>
      <c r="J18" t="n">
        <v>2927</v>
      </c>
      <c r="K18" t="n">
        <v>3275.862069</v>
      </c>
      <c r="L18" t="n">
        <v>524.137931</v>
      </c>
      <c r="M18" t="n">
        <v>3800</v>
      </c>
      <c r="N18" t="n">
        <v>0</v>
      </c>
      <c r="O18" t="inlineStr">
        <is>
          <t>Resina</t>
        </is>
      </c>
    </row>
    <row r="19">
      <c r="A19" t="inlineStr">
        <is>
          <t>EPRT 03</t>
        </is>
      </c>
      <c r="B19" t="inlineStr">
        <is>
          <t>EPOXY PRIMER (A Y B) TRANSPARENTE</t>
        </is>
      </c>
      <c r="C19" t="inlineStr">
        <is>
          <t>20.025 kg</t>
        </is>
      </c>
      <c r="D19" t="n">
        <v>5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⚠️ REABASTECER</t>
        </is>
      </c>
      <c r="J19" t="n">
        <v>5533.91</v>
      </c>
      <c r="K19" t="n">
        <v>6387.068966</v>
      </c>
      <c r="L19" t="n">
        <v>1021.931034</v>
      </c>
      <c r="M19" t="n">
        <v>7409</v>
      </c>
      <c r="N19" t="n">
        <v>0</v>
      </c>
      <c r="O19" t="inlineStr">
        <is>
          <t>Resina</t>
        </is>
      </c>
    </row>
    <row r="20">
      <c r="A20" t="inlineStr">
        <is>
          <t>EDU 01</t>
        </is>
      </c>
      <c r="B20" t="inlineStr">
        <is>
          <t>EPO-DEEP ULTRA (A Y B) TRANSPARENTE</t>
        </is>
      </c>
      <c r="C20" t="inlineStr">
        <is>
          <t>1.333 kg</t>
        </is>
      </c>
      <c r="D20" t="n">
        <v>5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⚠️ REABASTECER</t>
        </is>
      </c>
      <c r="J20" t="n">
        <v>522.86</v>
      </c>
      <c r="K20" t="n">
        <v>551.724138</v>
      </c>
      <c r="L20" t="n">
        <v>88.275862</v>
      </c>
      <c r="M20" t="n">
        <v>640</v>
      </c>
      <c r="N20" t="n">
        <v>0</v>
      </c>
      <c r="O20" t="inlineStr">
        <is>
          <t>Resina</t>
        </is>
      </c>
    </row>
    <row r="21">
      <c r="A21" t="inlineStr">
        <is>
          <t>EDU 02</t>
        </is>
      </c>
      <c r="B21" t="inlineStr">
        <is>
          <t>EPO-DEEP ULTRA (A Y B) TRANSPARENTE</t>
        </is>
      </c>
      <c r="C21" t="inlineStr">
        <is>
          <t>6.650 kg</t>
        </is>
      </c>
      <c r="D21" t="n">
        <v>5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⚠️ REABASTECER</t>
        </is>
      </c>
      <c r="J21" t="n">
        <v>2608.4</v>
      </c>
      <c r="K21" t="n">
        <v>2751.724138</v>
      </c>
      <c r="L21" t="n">
        <v>440.275862</v>
      </c>
      <c r="M21" t="n">
        <v>3192</v>
      </c>
      <c r="N21" t="n">
        <v>0</v>
      </c>
      <c r="O21" t="inlineStr">
        <is>
          <t>Resina</t>
        </is>
      </c>
    </row>
    <row r="22">
      <c r="A22" t="inlineStr">
        <is>
          <t>EDU 03</t>
        </is>
      </c>
      <c r="B22" t="inlineStr">
        <is>
          <t>EPO-DEEP ULTRA (A Y B) TRANSPARENTE</t>
        </is>
      </c>
      <c r="C22" t="inlineStr">
        <is>
          <t>13.300 kg</t>
        </is>
      </c>
      <c r="D22" t="n">
        <v>5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⚠️ REABASTECER</t>
        </is>
      </c>
      <c r="J22" t="n">
        <v>4731.74</v>
      </c>
      <c r="K22" t="n">
        <v>5044.827586</v>
      </c>
      <c r="L22" t="n">
        <v>807.172414</v>
      </c>
      <c r="M22" t="n">
        <v>5852</v>
      </c>
      <c r="N22" t="n">
        <v>0</v>
      </c>
      <c r="O22" t="inlineStr">
        <is>
          <t>Resina</t>
        </is>
      </c>
    </row>
    <row r="23">
      <c r="A23" t="inlineStr">
        <is>
          <t>EDU 04</t>
        </is>
      </c>
      <c r="B23" t="inlineStr">
        <is>
          <t>EPO-DEEP ULTRA (A Y B) TRANSPARENTE</t>
        </is>
      </c>
      <c r="C23" t="inlineStr">
        <is>
          <t>24 kg</t>
        </is>
      </c>
      <c r="D23" t="n">
        <v>5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⚠️ REABASTECER</t>
        </is>
      </c>
      <c r="J23" t="n">
        <v>7813.92</v>
      </c>
      <c r="K23" t="n">
        <v>8689.655172000001</v>
      </c>
      <c r="L23" t="n">
        <v>1390.344828</v>
      </c>
      <c r="M23" t="n">
        <v>10080</v>
      </c>
      <c r="N23" t="n">
        <v>0</v>
      </c>
      <c r="O23" t="inlineStr">
        <is>
          <t>Resina</t>
        </is>
      </c>
    </row>
    <row r="24">
      <c r="A24" t="inlineStr">
        <is>
          <t>POLIU 01</t>
        </is>
      </c>
      <c r="B24" t="inlineStr">
        <is>
          <t>POLIURETANO (A Y B) TRANSPARENTE</t>
        </is>
      </c>
      <c r="C24" t="inlineStr">
        <is>
          <t>1 L</t>
        </is>
      </c>
      <c r="D24" t="n">
        <v>5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⚠️ REABASTECER</t>
        </is>
      </c>
      <c r="J24" t="n">
        <v>422.11</v>
      </c>
      <c r="K24" t="n">
        <v>396.551724</v>
      </c>
      <c r="L24" t="n">
        <v>63.448276</v>
      </c>
      <c r="M24" t="n">
        <v>460</v>
      </c>
      <c r="N24" t="n">
        <v>0</v>
      </c>
      <c r="O24" t="inlineStr">
        <is>
          <t>Resina</t>
        </is>
      </c>
    </row>
    <row r="25">
      <c r="A25" t="inlineStr">
        <is>
          <t>POLIU 02</t>
        </is>
      </c>
      <c r="B25" t="inlineStr">
        <is>
          <t>POLIURETANO (A Y B) TRANSPARENTE</t>
        </is>
      </c>
      <c r="C25" t="inlineStr">
        <is>
          <t>5 L</t>
        </is>
      </c>
      <c r="D25" t="n">
        <v>5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⚠️ REABASTECER</t>
        </is>
      </c>
      <c r="J25" t="n">
        <v>1975.1</v>
      </c>
      <c r="K25" t="n">
        <v>1939.655172</v>
      </c>
      <c r="L25" t="n">
        <v>310.344828</v>
      </c>
      <c r="M25" t="n">
        <v>2250</v>
      </c>
      <c r="N25" t="n">
        <v>0</v>
      </c>
      <c r="O25" t="inlineStr">
        <is>
          <t>Resina</t>
        </is>
      </c>
    </row>
    <row r="26">
      <c r="A26" t="inlineStr">
        <is>
          <t>POLIU 03</t>
        </is>
      </c>
      <c r="B26" t="inlineStr">
        <is>
          <t>POLIURETANO (A Y B) TRANSPARENTE</t>
        </is>
      </c>
      <c r="C26" t="inlineStr">
        <is>
          <t>10 L</t>
        </is>
      </c>
      <c r="D26" t="n">
        <v>5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⚠️ REABASTECER</t>
        </is>
      </c>
      <c r="J26" t="n">
        <v>3828</v>
      </c>
      <c r="K26" t="n">
        <v>3793.103448</v>
      </c>
      <c r="L26" t="n">
        <v>606.896552</v>
      </c>
      <c r="M26" t="n">
        <v>4400</v>
      </c>
      <c r="N26" t="n">
        <v>0</v>
      </c>
      <c r="O26" t="inlineStr">
        <is>
          <t>Resina</t>
        </is>
      </c>
    </row>
    <row r="27">
      <c r="A27" t="inlineStr">
        <is>
          <t>POLIU 04</t>
        </is>
      </c>
      <c r="B27" t="inlineStr">
        <is>
          <t>POLIURETANO (A Y B) TRANSPARENTE</t>
        </is>
      </c>
      <c r="C27" t="inlineStr">
        <is>
          <t>20 L</t>
        </is>
      </c>
      <c r="D27" t="n">
        <v>5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⚠️ REABASTECER</t>
        </is>
      </c>
      <c r="J27" t="n">
        <v>7381.8</v>
      </c>
      <c r="K27" t="n">
        <v>7413.793103</v>
      </c>
      <c r="L27" t="n">
        <v>1186.206897</v>
      </c>
      <c r="M27" t="n">
        <v>8600</v>
      </c>
      <c r="N27" t="n">
        <v>0</v>
      </c>
      <c r="O27" t="inlineStr">
        <is>
          <t>Resina</t>
        </is>
      </c>
    </row>
    <row r="28">
      <c r="A28" t="inlineStr">
        <is>
          <t>EP 01</t>
        </is>
      </c>
      <c r="B28" t="inlineStr">
        <is>
          <t>EPOXY PASTA COLORES SÓLIDOS</t>
        </is>
      </c>
      <c r="C28" t="inlineStr">
        <is>
          <t>60 g</t>
        </is>
      </c>
      <c r="D28" t="n">
        <v>5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⚠️ REABASTECER</t>
        </is>
      </c>
      <c r="J28" t="n">
        <v>66.64</v>
      </c>
      <c r="K28" t="n">
        <v>68.96551700000001</v>
      </c>
      <c r="L28" t="n">
        <v>11.034483</v>
      </c>
      <c r="M28" t="n">
        <v>80</v>
      </c>
      <c r="N28" t="n">
        <v>0</v>
      </c>
      <c r="O28" t="inlineStr">
        <is>
          <t>Complemento</t>
        </is>
      </c>
    </row>
    <row r="29">
      <c r="A29" t="inlineStr">
        <is>
          <t>EP 02</t>
        </is>
      </c>
      <c r="B29" t="inlineStr">
        <is>
          <t>EPOXY PASTA COLORES SÓLIDOS</t>
        </is>
      </c>
      <c r="C29" t="inlineStr">
        <is>
          <t>100 g</t>
        </is>
      </c>
      <c r="D29" t="n">
        <v>5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⚠️ REABASTECER</t>
        </is>
      </c>
      <c r="J29" t="n">
        <v>99.25</v>
      </c>
      <c r="K29" t="n">
        <v>103.448276</v>
      </c>
      <c r="L29" t="n">
        <v>16.551724</v>
      </c>
      <c r="M29" t="n">
        <v>120</v>
      </c>
      <c r="N29" t="n">
        <v>0</v>
      </c>
      <c r="O29" t="inlineStr">
        <is>
          <t>Complemento</t>
        </is>
      </c>
    </row>
    <row r="30">
      <c r="A30" t="inlineStr">
        <is>
          <t>EP 03</t>
        </is>
      </c>
      <c r="B30" t="inlineStr">
        <is>
          <t>EPOXY PASTA COLORES SÓLIDOS</t>
        </is>
      </c>
      <c r="C30" t="inlineStr">
        <is>
          <t>250 g</t>
        </is>
      </c>
      <c r="D30" t="n">
        <v>5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⚠️ REABASTECER</t>
        </is>
      </c>
      <c r="J30" t="n">
        <v>231.76</v>
      </c>
      <c r="K30" t="n">
        <v>241.37931</v>
      </c>
      <c r="L30" t="n">
        <v>38.62069</v>
      </c>
      <c r="M30" t="n">
        <v>280</v>
      </c>
      <c r="N30" t="n">
        <v>0</v>
      </c>
      <c r="O30" t="inlineStr">
        <is>
          <t>Complemento</t>
        </is>
      </c>
    </row>
    <row r="31">
      <c r="A31" t="inlineStr">
        <is>
          <t>EP 04</t>
        </is>
      </c>
      <c r="B31" t="inlineStr">
        <is>
          <t>EPOXY PASTA COLORES SÓLIDOS</t>
        </is>
      </c>
      <c r="C31" t="inlineStr">
        <is>
          <t>500 g</t>
        </is>
      </c>
      <c r="D31" t="n">
        <v>5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⚠️ REABASTECER</t>
        </is>
      </c>
      <c r="J31" t="n">
        <v>444.35</v>
      </c>
      <c r="K31" t="n">
        <v>465.517241</v>
      </c>
      <c r="L31" t="n">
        <v>74.482759</v>
      </c>
      <c r="M31" t="n">
        <v>540</v>
      </c>
      <c r="N31" t="n">
        <v>0</v>
      </c>
      <c r="O31" t="inlineStr">
        <is>
          <t>Complemento</t>
        </is>
      </c>
    </row>
    <row r="32">
      <c r="A32" t="inlineStr">
        <is>
          <t>EP 05</t>
        </is>
      </c>
      <c r="B32" t="inlineStr">
        <is>
          <t>EPOXY PASTA COLORES SÓLIDOS</t>
        </is>
      </c>
      <c r="C32" t="inlineStr">
        <is>
          <t>1 kg</t>
        </is>
      </c>
      <c r="D32" t="n">
        <v>5</v>
      </c>
      <c r="E32" t="n">
        <v>0</v>
      </c>
      <c r="F32" t="n">
        <v>0</v>
      </c>
      <c r="G32" t="n">
        <v>0</v>
      </c>
      <c r="H32" t="n">
        <v>0</v>
      </c>
      <c r="I32" t="inlineStr">
        <is>
          <t>⚠️ REABASTECER</t>
        </is>
      </c>
      <c r="J32" t="n">
        <v>666.13</v>
      </c>
      <c r="K32" t="n">
        <v>741.37931</v>
      </c>
      <c r="L32" t="n">
        <v>118.62069</v>
      </c>
      <c r="M32" t="n">
        <v>860</v>
      </c>
      <c r="N32" t="n">
        <v>0</v>
      </c>
      <c r="O32" t="inlineStr">
        <is>
          <t>Complemento</t>
        </is>
      </c>
    </row>
    <row r="33">
      <c r="A33" t="inlineStr">
        <is>
          <t>ET 01</t>
        </is>
      </c>
      <c r="B33" t="inlineStr">
        <is>
          <t>EPOXY TINTA TRASLÚCIDOS LÍQUIDOS</t>
        </is>
      </c>
      <c r="C33" t="inlineStr">
        <is>
          <t>20 ml</t>
        </is>
      </c>
      <c r="D33" t="n">
        <v>5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⚠️ REABASTECER</t>
        </is>
      </c>
      <c r="J33" t="n">
        <v>19.55</v>
      </c>
      <c r="K33" t="n">
        <v>21.551724</v>
      </c>
      <c r="L33" t="n">
        <v>3.448276</v>
      </c>
      <c r="M33" t="n">
        <v>25</v>
      </c>
      <c r="N33" t="n">
        <v>0</v>
      </c>
      <c r="O33" t="inlineStr">
        <is>
          <t>Complemento</t>
        </is>
      </c>
    </row>
    <row r="34">
      <c r="A34" t="inlineStr">
        <is>
          <t>ET 02</t>
        </is>
      </c>
      <c r="B34" t="inlineStr">
        <is>
          <t>EPOXY TINTA TRASLÚCIDOS LÍQUIDOS</t>
        </is>
      </c>
      <c r="C34" t="inlineStr">
        <is>
          <t>60 ml</t>
        </is>
      </c>
      <c r="D34" t="n">
        <v>5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⚠️ REABASTECER</t>
        </is>
      </c>
      <c r="J34" t="n">
        <v>53.77</v>
      </c>
      <c r="K34" t="n">
        <v>56.034483</v>
      </c>
      <c r="L34" t="n">
        <v>8.965517</v>
      </c>
      <c r="M34" t="n">
        <v>65</v>
      </c>
      <c r="N34" t="n">
        <v>0</v>
      </c>
      <c r="O34" t="inlineStr">
        <is>
          <t>Complemento</t>
        </is>
      </c>
    </row>
    <row r="35">
      <c r="A35" t="inlineStr">
        <is>
          <t>ET 03</t>
        </is>
      </c>
      <c r="B35" t="inlineStr">
        <is>
          <t>EPOXY TINTA TRASLÚCIDOS LÍQUIDOS</t>
        </is>
      </c>
      <c r="C35" t="inlineStr">
        <is>
          <t>100 ml</t>
        </is>
      </c>
      <c r="D35" t="n">
        <v>5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⚠️ REABASTECER</t>
        </is>
      </c>
      <c r="J35" t="n">
        <v>91.91</v>
      </c>
      <c r="K35" t="n">
        <v>94.827586</v>
      </c>
      <c r="L35" t="n">
        <v>15.172414</v>
      </c>
      <c r="M35" t="n">
        <v>110</v>
      </c>
      <c r="N35" t="n">
        <v>0</v>
      </c>
      <c r="O35" t="inlineStr">
        <is>
          <t>Complemento</t>
        </is>
      </c>
    </row>
    <row r="36">
      <c r="A36" t="inlineStr">
        <is>
          <t>ET 04</t>
        </is>
      </c>
      <c r="B36" t="inlineStr">
        <is>
          <t>EPOXY TINTA TRASLÚCIDOS LÍQUIDOS</t>
        </is>
      </c>
      <c r="C36" t="inlineStr">
        <is>
          <t>250 ml</t>
        </is>
      </c>
      <c r="D36" t="n">
        <v>5</v>
      </c>
      <c r="E36" t="n">
        <v>0</v>
      </c>
      <c r="F36" t="n">
        <v>0</v>
      </c>
      <c r="G36" t="n">
        <v>0</v>
      </c>
      <c r="H36" t="n">
        <v>0</v>
      </c>
      <c r="I36" t="inlineStr">
        <is>
          <t>⚠️ REABASTECER</t>
        </is>
      </c>
      <c r="J36" t="n">
        <v>161.33</v>
      </c>
      <c r="K36" t="n">
        <v>163.793103</v>
      </c>
      <c r="L36" t="n">
        <v>26.206897</v>
      </c>
      <c r="M36" t="n">
        <v>190</v>
      </c>
      <c r="N36" t="n">
        <v>0</v>
      </c>
      <c r="O36" t="inlineStr">
        <is>
          <t>Complemento</t>
        </is>
      </c>
    </row>
    <row r="37">
      <c r="A37" t="inlineStr">
        <is>
          <t>ET 05</t>
        </is>
      </c>
      <c r="B37" t="inlineStr">
        <is>
          <t>EPOXY TINTA TRASLÚCIDOS LÍQUIDOS</t>
        </is>
      </c>
      <c r="C37" t="inlineStr">
        <is>
          <t>500 ml</t>
        </is>
      </c>
      <c r="D37" t="n">
        <v>5</v>
      </c>
      <c r="E37" t="n">
        <v>0</v>
      </c>
      <c r="F37" t="n">
        <v>0</v>
      </c>
      <c r="G37" t="n">
        <v>0</v>
      </c>
      <c r="H37" t="n">
        <v>0</v>
      </c>
      <c r="I37" t="inlineStr">
        <is>
          <t>⚠️ REABASTECER</t>
        </is>
      </c>
      <c r="J37" t="n">
        <v>248.12</v>
      </c>
      <c r="K37" t="n">
        <v>275.862069</v>
      </c>
      <c r="L37" t="n">
        <v>44.137931</v>
      </c>
      <c r="M37" t="n">
        <v>320</v>
      </c>
      <c r="N37" t="n">
        <v>0</v>
      </c>
      <c r="O37" t="inlineStr">
        <is>
          <t>Complemento</t>
        </is>
      </c>
    </row>
    <row r="38">
      <c r="A38" t="inlineStr">
        <is>
          <t>ET 06</t>
        </is>
      </c>
      <c r="B38" t="inlineStr">
        <is>
          <t>EPOXY TINTA TRASLÚCIDOS LÍQUIDOS</t>
        </is>
      </c>
      <c r="C38" t="inlineStr">
        <is>
          <t>1 L</t>
        </is>
      </c>
      <c r="D38" t="n">
        <v>5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⚠️ REABASTECER</t>
        </is>
      </c>
      <c r="J38" t="n">
        <v>427.79</v>
      </c>
      <c r="K38" t="n">
        <v>474.137931</v>
      </c>
      <c r="L38" t="n">
        <v>75.86206900000001</v>
      </c>
      <c r="M38" t="n">
        <v>550</v>
      </c>
      <c r="N38" t="n">
        <v>0</v>
      </c>
      <c r="O38" t="inlineStr">
        <is>
          <t>Complemento</t>
        </is>
      </c>
    </row>
    <row r="39">
      <c r="A39" t="inlineStr">
        <is>
          <t>PF 01</t>
        </is>
      </c>
      <c r="B39" t="inlineStr">
        <is>
          <t>PIGMENTOS FOTOLUMINISCENTES</t>
        </is>
      </c>
      <c r="C39" t="inlineStr">
        <is>
          <t>20 g</t>
        </is>
      </c>
      <c r="D39" t="n">
        <v>5</v>
      </c>
      <c r="E39" t="n">
        <v>0</v>
      </c>
      <c r="F39" t="n">
        <v>0</v>
      </c>
      <c r="G39" t="n">
        <v>0</v>
      </c>
      <c r="H39" t="n">
        <v>0</v>
      </c>
      <c r="I39" t="inlineStr">
        <is>
          <t>⚠️ REABASTECER</t>
        </is>
      </c>
      <c r="J39" t="n">
        <v>0</v>
      </c>
      <c r="K39" t="n">
        <v>237.068966</v>
      </c>
      <c r="L39" t="n">
        <v>37.931034</v>
      </c>
      <c r="M39" t="n">
        <v>275</v>
      </c>
      <c r="N39" t="n">
        <v>0</v>
      </c>
      <c r="O39" t="inlineStr">
        <is>
          <t>Complemento</t>
        </is>
      </c>
    </row>
    <row r="40">
      <c r="A40" t="inlineStr">
        <is>
          <t>PF 02</t>
        </is>
      </c>
      <c r="B40" t="inlineStr">
        <is>
          <t>PIGMENTOS FOTOLUMINISCENTES</t>
        </is>
      </c>
      <c r="C40" t="inlineStr">
        <is>
          <t>50 g</t>
        </is>
      </c>
      <c r="D40" t="n">
        <v>5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⚠️ REABASTECER</t>
        </is>
      </c>
      <c r="J40" t="n">
        <v>0</v>
      </c>
      <c r="K40" t="n">
        <v>543.103448</v>
      </c>
      <c r="L40" t="n">
        <v>86.896552</v>
      </c>
      <c r="M40" t="n">
        <v>630</v>
      </c>
      <c r="N40" t="n">
        <v>0</v>
      </c>
      <c r="O40" t="inlineStr">
        <is>
          <t>Complemento</t>
        </is>
      </c>
    </row>
    <row r="41">
      <c r="A41" t="inlineStr">
        <is>
          <t>PF 03</t>
        </is>
      </c>
      <c r="B41" t="inlineStr">
        <is>
          <t>PIGMENTOS FOTOLUMINISCENTES</t>
        </is>
      </c>
      <c r="C41" t="inlineStr">
        <is>
          <t>100 g</t>
        </is>
      </c>
      <c r="D41" t="n">
        <v>5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⚠️ REABASTECER</t>
        </is>
      </c>
      <c r="J41" t="n">
        <v>0</v>
      </c>
      <c r="K41" t="n">
        <v>948.275862</v>
      </c>
      <c r="L41" t="n">
        <v>151.724138</v>
      </c>
      <c r="M41" t="n">
        <v>1100</v>
      </c>
      <c r="N41" t="n">
        <v>0</v>
      </c>
      <c r="O41" t="inlineStr">
        <is>
          <t>Complemento</t>
        </is>
      </c>
    </row>
    <row r="42">
      <c r="A42" t="inlineStr">
        <is>
          <t>EM 01</t>
        </is>
      </c>
      <c r="B42" t="inlineStr">
        <is>
          <t>EPOXY METAL PERLADO Y METÁLICOS EN POLVO</t>
        </is>
      </c>
      <c r="C42" t="inlineStr">
        <is>
          <t>10 g</t>
        </is>
      </c>
      <c r="D42" t="n">
        <v>5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⚠️ REABASTECER</t>
        </is>
      </c>
      <c r="J42" t="n">
        <v>93.87</v>
      </c>
      <c r="K42" t="n">
        <v>91.37931</v>
      </c>
      <c r="L42" t="n">
        <v>14.62069</v>
      </c>
      <c r="M42" t="n">
        <v>106</v>
      </c>
      <c r="N42" t="n">
        <v>0</v>
      </c>
      <c r="O42" t="inlineStr">
        <is>
          <t>Complemento</t>
        </is>
      </c>
    </row>
    <row r="43">
      <c r="A43" t="inlineStr">
        <is>
          <t>EM 02</t>
        </is>
      </c>
      <c r="B43" t="inlineStr">
        <is>
          <t>EPOXY METAL PERLADO Y METÁLICOS EN POLVO</t>
        </is>
      </c>
      <c r="C43" t="inlineStr">
        <is>
          <t>30 g</t>
        </is>
      </c>
      <c r="D43" t="n">
        <v>5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⚠️ REABASTECER</t>
        </is>
      </c>
      <c r="J43" t="n">
        <v>279.27</v>
      </c>
      <c r="K43" t="n">
        <v>268.965517</v>
      </c>
      <c r="L43" t="n">
        <v>43.034483</v>
      </c>
      <c r="M43" t="n">
        <v>312</v>
      </c>
      <c r="N43" t="n">
        <v>0</v>
      </c>
      <c r="O43" t="inlineStr">
        <is>
          <t>Complemento</t>
        </is>
      </c>
    </row>
    <row r="44">
      <c r="A44" t="inlineStr">
        <is>
          <t>EM 03</t>
        </is>
      </c>
      <c r="B44" t="inlineStr">
        <is>
          <t>EPOXY METAL PERLADO Y METÁLICOS EN POLVO</t>
        </is>
      </c>
      <c r="C44" t="inlineStr">
        <is>
          <t>50 g</t>
        </is>
      </c>
      <c r="D44" t="n">
        <v>5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⚠️ REABASTECER</t>
        </is>
      </c>
      <c r="J44" t="n">
        <v>413.56</v>
      </c>
      <c r="K44" t="n">
        <v>401.724138</v>
      </c>
      <c r="L44" t="n">
        <v>64.275862</v>
      </c>
      <c r="M44" t="n">
        <v>466</v>
      </c>
      <c r="N44" t="n">
        <v>0</v>
      </c>
      <c r="O44" t="inlineStr">
        <is>
          <t>Complemento</t>
        </is>
      </c>
    </row>
    <row r="45">
      <c r="A45" t="inlineStr">
        <is>
          <t>EM 04</t>
        </is>
      </c>
      <c r="B45" t="inlineStr">
        <is>
          <t>EPOXY METAL PERLADO Y METÁLICOS EN POLVO</t>
        </is>
      </c>
      <c r="C45" t="inlineStr">
        <is>
          <t>100 g</t>
        </is>
      </c>
      <c r="D45" t="n">
        <v>5</v>
      </c>
      <c r="E45" t="n">
        <v>0</v>
      </c>
      <c r="F45" t="n">
        <v>0</v>
      </c>
      <c r="G45" t="n">
        <v>0</v>
      </c>
      <c r="H45" t="n">
        <v>0</v>
      </c>
      <c r="I45" t="inlineStr">
        <is>
          <t>⚠️ REABASTECER</t>
        </is>
      </c>
      <c r="J45" t="n">
        <v>747.41</v>
      </c>
      <c r="K45" t="n">
        <v>727.5862069999999</v>
      </c>
      <c r="L45" t="n">
        <v>116.413793</v>
      </c>
      <c r="M45" t="n">
        <v>844</v>
      </c>
      <c r="N45" t="n">
        <v>0</v>
      </c>
      <c r="O45" t="inlineStr">
        <is>
          <t>Complemento</t>
        </is>
      </c>
    </row>
    <row r="46">
      <c r="A46" t="inlineStr">
        <is>
          <t>EM 05</t>
        </is>
      </c>
      <c r="B46" t="inlineStr">
        <is>
          <t>EPOXY METAL PERLADO Y METÁLICOS EN POLVO</t>
        </is>
      </c>
      <c r="C46" t="inlineStr">
        <is>
          <t>200 g</t>
        </is>
      </c>
      <c r="D46" t="n">
        <v>5</v>
      </c>
      <c r="E46" t="n">
        <v>0</v>
      </c>
      <c r="F46" t="n">
        <v>0</v>
      </c>
      <c r="G46" t="n">
        <v>0</v>
      </c>
      <c r="H46" t="n">
        <v>0</v>
      </c>
      <c r="I46" t="inlineStr">
        <is>
          <t>⚠️ REABASTECER</t>
        </is>
      </c>
      <c r="J46" t="n">
        <v>1323.21</v>
      </c>
      <c r="K46" t="n">
        <v>1296.551724</v>
      </c>
      <c r="L46" t="n">
        <v>207.448276</v>
      </c>
      <c r="M46" t="n">
        <v>1504</v>
      </c>
      <c r="N46" t="n">
        <v>0</v>
      </c>
      <c r="O46" t="inlineStr">
        <is>
          <t>Complemento</t>
        </is>
      </c>
    </row>
    <row r="47">
      <c r="A47" t="inlineStr">
        <is>
          <t>EV 01</t>
        </is>
      </c>
      <c r="B47" t="inlineStr">
        <is>
          <t>EPOXY VEINS</t>
        </is>
      </c>
      <c r="C47" t="inlineStr">
        <is>
          <t>400 ml</t>
        </is>
      </c>
      <c r="D47" t="n">
        <v>5</v>
      </c>
      <c r="E47" t="n">
        <v>0</v>
      </c>
      <c r="F47" t="n">
        <v>0</v>
      </c>
      <c r="G47" t="n">
        <v>0</v>
      </c>
      <c r="H47" t="n">
        <v>0</v>
      </c>
      <c r="I47" t="inlineStr">
        <is>
          <t>⚠️ REABASTECER</t>
        </is>
      </c>
      <c r="J47" t="n">
        <v>421.06</v>
      </c>
      <c r="K47" t="n">
        <v>431.034483</v>
      </c>
      <c r="L47" t="n">
        <v>68.96551700000001</v>
      </c>
      <c r="M47" t="n">
        <v>500</v>
      </c>
      <c r="N47" t="n">
        <v>0</v>
      </c>
      <c r="O47" t="inlineStr">
        <is>
          <t>Complemento</t>
        </is>
      </c>
    </row>
    <row r="48">
      <c r="A48" t="inlineStr">
        <is>
          <t>EH 01</t>
        </is>
      </c>
      <c r="B48" t="inlineStr">
        <is>
          <t>EPOXY-HOJUELA (1 color)</t>
        </is>
      </c>
      <c r="C48" t="inlineStr">
        <is>
          <t>0 a 59.999 kg</t>
        </is>
      </c>
      <c r="D48" t="n">
        <v>5</v>
      </c>
      <c r="E48" t="n">
        <v>0</v>
      </c>
      <c r="F48" t="n">
        <v>0</v>
      </c>
      <c r="G48" t="n">
        <v>0</v>
      </c>
      <c r="H48" t="n">
        <v>0</v>
      </c>
      <c r="I48" t="inlineStr">
        <is>
          <t>⚠️ REABASTECER</t>
        </is>
      </c>
      <c r="J48" t="n">
        <v>182.7</v>
      </c>
      <c r="K48" t="n">
        <v>176.724138</v>
      </c>
      <c r="L48" t="n">
        <v>28.275862</v>
      </c>
      <c r="M48" t="n">
        <v>205</v>
      </c>
      <c r="N48" t="n">
        <v>0</v>
      </c>
      <c r="O48" t="inlineStr">
        <is>
          <t>Complemento</t>
        </is>
      </c>
    </row>
    <row r="49">
      <c r="A49" t="inlineStr">
        <is>
          <t>EH 02</t>
        </is>
      </c>
      <c r="B49" t="inlineStr">
        <is>
          <t>EPOXY-HOJUELA (1 color)</t>
        </is>
      </c>
      <c r="C49" t="inlineStr">
        <is>
          <t>+ 60 kg</t>
        </is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inlineStr">
        <is>
          <t>⚠️ REABASTECER</t>
        </is>
      </c>
      <c r="J49" t="n">
        <v>182.7</v>
      </c>
      <c r="K49" t="n">
        <v>172.413793</v>
      </c>
      <c r="L49" t="n">
        <v>27.586207</v>
      </c>
      <c r="M49" t="n">
        <v>200</v>
      </c>
      <c r="N49" t="n">
        <v>0</v>
      </c>
      <c r="O49" t="inlineStr">
        <is>
          <t>Complemento</t>
        </is>
      </c>
    </row>
    <row r="50">
      <c r="A50" t="inlineStr">
        <is>
          <t>EHC 01</t>
        </is>
      </c>
      <c r="B50" t="inlineStr">
        <is>
          <t>EPOXY-HOJUELA (combinación)</t>
        </is>
      </c>
      <c r="C50" t="inlineStr">
        <is>
          <t>0 a 59.999 kg</t>
        </is>
      </c>
      <c r="D50" t="n">
        <v>5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⚠️ REABASTECER</t>
        </is>
      </c>
      <c r="J50" t="n">
        <v>214.5</v>
      </c>
      <c r="K50" t="n">
        <v>202.586207</v>
      </c>
      <c r="L50" t="n">
        <v>32.413793</v>
      </c>
      <c r="M50" t="n">
        <v>235</v>
      </c>
      <c r="N50" t="n">
        <v>0</v>
      </c>
      <c r="O50" t="inlineStr">
        <is>
          <t>Complemento</t>
        </is>
      </c>
    </row>
    <row r="51">
      <c r="A51" t="inlineStr">
        <is>
          <t>EHC 02</t>
        </is>
      </c>
      <c r="B51" t="inlineStr">
        <is>
          <t>EPOXY-HOJUELA (combinación)</t>
        </is>
      </c>
      <c r="C51" t="inlineStr">
        <is>
          <t>+ 60 kg</t>
        </is>
      </c>
      <c r="D51" t="n">
        <v>5</v>
      </c>
      <c r="E51" t="n">
        <v>0</v>
      </c>
      <c r="F51" t="n">
        <v>0</v>
      </c>
      <c r="G51" t="n">
        <v>0</v>
      </c>
      <c r="H51" t="n">
        <v>0</v>
      </c>
      <c r="I51" t="inlineStr">
        <is>
          <t>⚠️ REABASTECER</t>
        </is>
      </c>
      <c r="J51" t="n">
        <v>214.5</v>
      </c>
      <c r="K51" t="n">
        <v>198.275862</v>
      </c>
      <c r="L51" t="n">
        <v>31.724138</v>
      </c>
      <c r="M51" t="n">
        <v>230</v>
      </c>
      <c r="N51" t="n">
        <v>0</v>
      </c>
      <c r="O51" t="inlineStr">
        <is>
          <t>Complemento</t>
        </is>
      </c>
    </row>
    <row r="52">
      <c r="A52" t="inlineStr">
        <is>
          <t>EG 01</t>
        </is>
      </c>
      <c r="B52" t="inlineStr">
        <is>
          <t>EPOXY-GRANO</t>
        </is>
      </c>
      <c r="C52" t="inlineStr">
        <is>
          <t>1 a 20 kg</t>
        </is>
      </c>
      <c r="D52" t="n">
        <v>5</v>
      </c>
      <c r="E52" t="n">
        <v>0</v>
      </c>
      <c r="F52" t="n">
        <v>0</v>
      </c>
      <c r="G52" t="n">
        <v>0</v>
      </c>
      <c r="H52" t="n">
        <v>0</v>
      </c>
      <c r="I52" t="inlineStr">
        <is>
          <t>⚠️ REABASTECER</t>
        </is>
      </c>
      <c r="J52" t="n">
        <v>0</v>
      </c>
      <c r="K52" t="n">
        <v>56.034483</v>
      </c>
      <c r="L52" t="n">
        <v>8.965517</v>
      </c>
      <c r="M52" t="n">
        <v>65</v>
      </c>
      <c r="N52" t="n">
        <v>0</v>
      </c>
      <c r="O52" t="inlineStr">
        <is>
          <t>Complemento</t>
        </is>
      </c>
    </row>
    <row r="53">
      <c r="A53" t="inlineStr">
        <is>
          <t>EG 02</t>
        </is>
      </c>
      <c r="B53" t="inlineStr">
        <is>
          <t>EPOXY-GRANO</t>
        </is>
      </c>
      <c r="C53" t="inlineStr">
        <is>
          <t>22.7 a 24.3 kg</t>
        </is>
      </c>
      <c r="D53" t="n">
        <v>5</v>
      </c>
      <c r="E53" t="n">
        <v>0</v>
      </c>
      <c r="F53" t="n">
        <v>0</v>
      </c>
      <c r="G53" t="n">
        <v>0</v>
      </c>
      <c r="H53" t="n">
        <v>0</v>
      </c>
      <c r="I53" t="inlineStr">
        <is>
          <t>⚠️ REABASTECER</t>
        </is>
      </c>
      <c r="J53" t="n">
        <v>0</v>
      </c>
      <c r="K53" t="n">
        <v>47.413793</v>
      </c>
      <c r="L53" t="n">
        <v>7.586207</v>
      </c>
      <c r="M53" t="n">
        <v>55</v>
      </c>
      <c r="N53" t="n">
        <v>0</v>
      </c>
      <c r="O53" t="inlineStr">
        <is>
          <t>Complemento</t>
        </is>
      </c>
    </row>
    <row r="54">
      <c r="A54" t="inlineStr">
        <is>
          <t>EGC 01</t>
        </is>
      </c>
      <c r="B54" t="inlineStr">
        <is>
          <t>EPOXY-GRANO (combinación)</t>
        </is>
      </c>
      <c r="C54" t="inlineStr">
        <is>
          <t>1 a 20 kg</t>
        </is>
      </c>
      <c r="D54" t="n">
        <v>5</v>
      </c>
      <c r="E54" t="n">
        <v>0</v>
      </c>
      <c r="F54" t="n">
        <v>0</v>
      </c>
      <c r="G54" t="n">
        <v>0</v>
      </c>
      <c r="H54" t="n">
        <v>0</v>
      </c>
      <c r="I54" t="inlineStr">
        <is>
          <t>⚠️ REABASTECER</t>
        </is>
      </c>
      <c r="J54" t="n">
        <v>0</v>
      </c>
      <c r="K54" t="n">
        <v>77.586207</v>
      </c>
      <c r="L54" t="n">
        <v>12.413793</v>
      </c>
      <c r="M54" t="n">
        <v>90</v>
      </c>
      <c r="N54" t="n">
        <v>0</v>
      </c>
      <c r="O54" t="inlineStr">
        <is>
          <t>Complemento</t>
        </is>
      </c>
    </row>
    <row r="55">
      <c r="A55" t="inlineStr">
        <is>
          <t>EGC 02</t>
        </is>
      </c>
      <c r="B55" t="inlineStr">
        <is>
          <t>EPOXY-GRANO (combinación)</t>
        </is>
      </c>
      <c r="C55" t="inlineStr">
        <is>
          <t>22.7 a 24.3 kg</t>
        </is>
      </c>
      <c r="D55" t="n">
        <v>5</v>
      </c>
      <c r="E55" t="n">
        <v>0</v>
      </c>
      <c r="F55" t="n">
        <v>0</v>
      </c>
      <c r="G55" t="n">
        <v>0</v>
      </c>
      <c r="H55" t="n">
        <v>0</v>
      </c>
      <c r="I55" t="inlineStr">
        <is>
          <t>⚠️ REABASTECER</t>
        </is>
      </c>
      <c r="J55" t="n">
        <v>0</v>
      </c>
      <c r="K55" t="n">
        <v>60.344828</v>
      </c>
      <c r="L55" t="n">
        <v>9.655172</v>
      </c>
      <c r="M55" t="n">
        <v>70</v>
      </c>
      <c r="N55" t="n">
        <v>0</v>
      </c>
      <c r="O55" t="inlineStr">
        <is>
          <t>Complemento</t>
        </is>
      </c>
    </row>
    <row r="56">
      <c r="A56" t="inlineStr">
        <is>
          <t>EMI 01</t>
        </is>
      </c>
      <c r="B56" t="inlineStr">
        <is>
          <t>EPOXY-MICA</t>
        </is>
      </c>
      <c r="C56" t="inlineStr">
        <is>
          <t>1 kg</t>
        </is>
      </c>
      <c r="D56" t="n">
        <v>5</v>
      </c>
      <c r="E56" t="n">
        <v>0</v>
      </c>
      <c r="F56" t="n">
        <v>0</v>
      </c>
      <c r="G56" t="n">
        <v>0</v>
      </c>
      <c r="H56" t="n">
        <v>0</v>
      </c>
      <c r="I56" t="inlineStr">
        <is>
          <t>⚠️ REABASTECER</t>
        </is>
      </c>
      <c r="J56" t="n">
        <v>0</v>
      </c>
      <c r="K56" t="n">
        <v>405.172414</v>
      </c>
      <c r="L56" t="n">
        <v>64.827586</v>
      </c>
      <c r="M56" t="n">
        <v>470.0000000000001</v>
      </c>
      <c r="N56" t="n">
        <v>0</v>
      </c>
      <c r="O56" t="inlineStr">
        <is>
          <t>Complemento</t>
        </is>
      </c>
    </row>
    <row r="57">
      <c r="A57" t="inlineStr">
        <is>
          <t>EMI 02</t>
        </is>
      </c>
      <c r="B57" t="inlineStr">
        <is>
          <t>EPOXY-MICA</t>
        </is>
      </c>
      <c r="C57" t="inlineStr">
        <is>
          <t>1/2 kg</t>
        </is>
      </c>
      <c r="D57" t="n">
        <v>5</v>
      </c>
      <c r="E57" t="n">
        <v>0</v>
      </c>
      <c r="F57" t="n">
        <v>0</v>
      </c>
      <c r="G57" t="n">
        <v>0</v>
      </c>
      <c r="H57" t="n">
        <v>0</v>
      </c>
      <c r="I57" t="inlineStr">
        <is>
          <t>⚠️ REABASTECER</t>
        </is>
      </c>
      <c r="J57" t="n">
        <v>0</v>
      </c>
      <c r="K57" t="n">
        <v>715.517241</v>
      </c>
      <c r="L57" t="n">
        <v>114.482759</v>
      </c>
      <c r="M57" t="n">
        <v>830</v>
      </c>
      <c r="N57" t="n">
        <v>0</v>
      </c>
      <c r="O57" t="inlineStr">
        <is>
          <t>Complemento</t>
        </is>
      </c>
    </row>
    <row r="58">
      <c r="A58" t="inlineStr">
        <is>
          <t>EMC 01</t>
        </is>
      </c>
      <c r="B58" t="inlineStr">
        <is>
          <t>EPOXY-MICA (combinado)</t>
        </is>
      </c>
      <c r="C58" t="inlineStr">
        <is>
          <t>1 kg</t>
        </is>
      </c>
      <c r="D58" t="n">
        <v>5</v>
      </c>
      <c r="E58" t="n">
        <v>0</v>
      </c>
      <c r="F58" t="n">
        <v>0</v>
      </c>
      <c r="G58" t="n">
        <v>0</v>
      </c>
      <c r="H58" t="n">
        <v>0</v>
      </c>
      <c r="I58" t="inlineStr">
        <is>
          <t>⚠️ REABASTECER</t>
        </is>
      </c>
      <c r="J58" t="n">
        <v>0</v>
      </c>
      <c r="K58" t="n">
        <v>426.724138</v>
      </c>
      <c r="L58" t="n">
        <v>68.275862</v>
      </c>
      <c r="M58" t="n">
        <v>495</v>
      </c>
      <c r="N58" t="n">
        <v>0</v>
      </c>
      <c r="O58" t="inlineStr">
        <is>
          <t>Complemento</t>
        </is>
      </c>
    </row>
    <row r="59">
      <c r="A59" t="inlineStr">
        <is>
          <t>EMC 02</t>
        </is>
      </c>
      <c r="B59" t="inlineStr">
        <is>
          <t>EPOXY-MICA (combinado)</t>
        </is>
      </c>
      <c r="C59" t="inlineStr">
        <is>
          <t>1/2 kg</t>
        </is>
      </c>
      <c r="D59" t="n">
        <v>5</v>
      </c>
      <c r="E59" t="n">
        <v>0</v>
      </c>
      <c r="F59" t="n">
        <v>0</v>
      </c>
      <c r="G59" t="n">
        <v>0</v>
      </c>
      <c r="H59" t="n">
        <v>0</v>
      </c>
      <c r="I59" t="inlineStr">
        <is>
          <t>⚠️ REABASTECER</t>
        </is>
      </c>
      <c r="J59" t="n">
        <v>0</v>
      </c>
      <c r="K59" t="n">
        <v>737.068966</v>
      </c>
      <c r="L59" t="n">
        <v>117.931034</v>
      </c>
      <c r="M59" t="n">
        <v>855</v>
      </c>
      <c r="N59" t="n">
        <v>0</v>
      </c>
      <c r="O59" t="inlineStr">
        <is>
          <t>Complemento</t>
        </is>
      </c>
    </row>
    <row r="60">
      <c r="A60" t="inlineStr">
        <is>
          <t>EPA 01</t>
        </is>
      </c>
      <c r="B60" t="inlineStr">
        <is>
          <t>EPO-PAINT (A y B)</t>
        </is>
      </c>
      <c r="C60" t="inlineStr">
        <is>
          <t>0</t>
        </is>
      </c>
      <c r="D60" t="n">
        <v>5</v>
      </c>
      <c r="E60" t="n">
        <v>0</v>
      </c>
      <c r="F60" t="n">
        <v>0</v>
      </c>
      <c r="G60" t="n">
        <v>0</v>
      </c>
      <c r="H60" t="n">
        <v>0</v>
      </c>
      <c r="I60" t="inlineStr">
        <is>
          <t>⚠️ REABASTECER</t>
        </is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Complemento</t>
        </is>
      </c>
    </row>
    <row r="61">
      <c r="A61" t="inlineStr">
        <is>
          <t>AS 01</t>
        </is>
      </c>
      <c r="B61" t="inlineStr">
        <is>
          <t>ARENA SILICA</t>
        </is>
      </c>
      <c r="C61" t="inlineStr">
        <is>
          <t>0</t>
        </is>
      </c>
      <c r="D61" t="n">
        <v>5</v>
      </c>
      <c r="E61" t="n">
        <v>0</v>
      </c>
      <c r="F61" t="n">
        <v>0</v>
      </c>
      <c r="G61" t="n">
        <v>0</v>
      </c>
      <c r="H61" t="n">
        <v>0</v>
      </c>
      <c r="I61" t="inlineStr">
        <is>
          <t>⚠️ REABASTECER</t>
        </is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Complemento</t>
        </is>
      </c>
    </row>
    <row r="62">
      <c r="A62" t="inlineStr">
        <is>
          <t>RP 01</t>
        </is>
      </c>
      <c r="B62" t="inlineStr">
        <is>
          <t>RODILLO DE PICOS EPOXY-PISOS</t>
        </is>
      </c>
      <c r="C62" t="inlineStr">
        <is>
          <t>1 Pz</t>
        </is>
      </c>
      <c r="D62" t="n">
        <v>5</v>
      </c>
      <c r="E62" t="n">
        <v>0</v>
      </c>
      <c r="F62" t="n">
        <v>0</v>
      </c>
      <c r="G62" t="n">
        <v>0</v>
      </c>
      <c r="H62" t="n">
        <v>0</v>
      </c>
      <c r="I62" t="inlineStr">
        <is>
          <t>⚠️ REABASTECER</t>
        </is>
      </c>
      <c r="J62" t="n">
        <v>474.06</v>
      </c>
      <c r="K62" t="n">
        <v>426.724138</v>
      </c>
      <c r="L62" t="n">
        <v>68.275862</v>
      </c>
      <c r="M62" t="n">
        <v>495</v>
      </c>
      <c r="N62" t="n">
        <v>0</v>
      </c>
      <c r="O62" t="inlineStr">
        <is>
          <t>Herramienta</t>
        </is>
      </c>
    </row>
    <row r="63">
      <c r="A63" t="inlineStr">
        <is>
          <t>JEP 01</t>
        </is>
      </c>
      <c r="B63" t="inlineStr">
        <is>
          <t>JALADOR EPÓXICO PREMIUM</t>
        </is>
      </c>
      <c r="C63" t="inlineStr">
        <is>
          <t>1 Pz</t>
        </is>
      </c>
      <c r="D63" t="n">
        <v>5</v>
      </c>
      <c r="E63" t="n">
        <v>0</v>
      </c>
      <c r="F63" t="n">
        <v>0</v>
      </c>
      <c r="G63" t="n">
        <v>0</v>
      </c>
      <c r="H63" t="n">
        <v>0</v>
      </c>
      <c r="I63" t="inlineStr">
        <is>
          <t>⚠️ REABASTECER</t>
        </is>
      </c>
      <c r="J63" t="n">
        <v>406.09</v>
      </c>
      <c r="K63" t="n">
        <v>366.37931</v>
      </c>
      <c r="L63" t="n">
        <v>58.62069</v>
      </c>
      <c r="M63" t="n">
        <v>425</v>
      </c>
      <c r="N63" t="n">
        <v>0</v>
      </c>
      <c r="O63" t="inlineStr">
        <is>
          <t>Herramienta</t>
        </is>
      </c>
    </row>
    <row r="64">
      <c r="A64" t="inlineStr">
        <is>
          <t>JEE 01</t>
        </is>
      </c>
      <c r="B64" t="inlineStr">
        <is>
          <t>JALADOR PARA EPÓXICOS ECO</t>
        </is>
      </c>
      <c r="C64" t="inlineStr">
        <is>
          <t>1 Pz</t>
        </is>
      </c>
      <c r="D64" t="n">
        <v>5</v>
      </c>
      <c r="E64" t="n">
        <v>0</v>
      </c>
      <c r="F64" t="n">
        <v>0</v>
      </c>
      <c r="G64" t="n">
        <v>0</v>
      </c>
      <c r="H64" t="n">
        <v>0</v>
      </c>
      <c r="I64" t="inlineStr">
        <is>
          <t>⚠️ REABASTECER</t>
        </is>
      </c>
      <c r="J64" t="n">
        <v>71.26000000000001</v>
      </c>
      <c r="K64" t="n">
        <v>64.65517199999999</v>
      </c>
      <c r="L64" t="n">
        <v>10.344828</v>
      </c>
      <c r="M64" t="n">
        <v>75</v>
      </c>
      <c r="N64" t="n">
        <v>0</v>
      </c>
      <c r="O64" t="inlineStr">
        <is>
          <t>Herramienta</t>
        </is>
      </c>
    </row>
    <row r="65">
      <c r="A65" t="inlineStr">
        <is>
          <t>JNE 01</t>
        </is>
      </c>
      <c r="B65" t="inlineStr">
        <is>
          <t>JALADOR NIVELADOR EPÓXICO</t>
        </is>
      </c>
      <c r="C65" t="inlineStr">
        <is>
          <t>1 Pz</t>
        </is>
      </c>
      <c r="D65" t="n">
        <v>5</v>
      </c>
      <c r="E65" t="n">
        <v>0</v>
      </c>
      <c r="F65" t="n">
        <v>0</v>
      </c>
      <c r="G65" t="n">
        <v>0</v>
      </c>
      <c r="H65" t="n">
        <v>0</v>
      </c>
      <c r="I65" t="inlineStr">
        <is>
          <t>⚠️ REABASTECER</t>
        </is>
      </c>
      <c r="J65" t="n">
        <v>0</v>
      </c>
      <c r="K65" t="n">
        <v>1370.689655</v>
      </c>
      <c r="L65" t="n">
        <v>219.310345</v>
      </c>
      <c r="M65" t="n">
        <v>1590</v>
      </c>
      <c r="N65" t="n">
        <v>0</v>
      </c>
      <c r="O65" t="inlineStr">
        <is>
          <t>Herramienta</t>
        </is>
      </c>
    </row>
    <row r="66">
      <c r="A66" t="inlineStr">
        <is>
          <t>JD 01</t>
        </is>
      </c>
      <c r="B66" t="inlineStr">
        <is>
          <t>JALADOR DENTADO</t>
        </is>
      </c>
      <c r="C66" t="inlineStr">
        <is>
          <t>1 Pz</t>
        </is>
      </c>
      <c r="D66" t="n">
        <v>5</v>
      </c>
      <c r="E66" t="n">
        <v>0</v>
      </c>
      <c r="F66" t="n">
        <v>0</v>
      </c>
      <c r="G66" t="n">
        <v>0</v>
      </c>
      <c r="H66" t="n">
        <v>0</v>
      </c>
      <c r="I66" t="inlineStr">
        <is>
          <t>⚠️ REABASTECER</t>
        </is>
      </c>
      <c r="J66" t="n">
        <v>370.51</v>
      </c>
      <c r="K66" t="n">
        <v>336.206897</v>
      </c>
      <c r="L66" t="n">
        <v>53.793103</v>
      </c>
      <c r="M66" t="n">
        <v>390</v>
      </c>
      <c r="N66" t="n">
        <v>0</v>
      </c>
      <c r="O66" t="inlineStr">
        <is>
          <t>Herramienta</t>
        </is>
      </c>
    </row>
    <row r="67">
      <c r="A67" t="inlineStr">
        <is>
          <t>CV 01</t>
        </is>
      </c>
      <c r="B67" t="inlineStr">
        <is>
          <t>CUÑA PARA VINIL</t>
        </is>
      </c>
      <c r="C67" t="inlineStr">
        <is>
          <t>1 Pz</t>
        </is>
      </c>
      <c r="D67" t="n">
        <v>5</v>
      </c>
      <c r="E67" t="n">
        <v>0</v>
      </c>
      <c r="F67" t="n">
        <v>0</v>
      </c>
      <c r="G67" t="n">
        <v>0</v>
      </c>
      <c r="H67" t="n">
        <v>0</v>
      </c>
      <c r="I67" t="inlineStr">
        <is>
          <t>⚠️ REABASTECER</t>
        </is>
      </c>
      <c r="J67" t="n">
        <v>62.71</v>
      </c>
      <c r="K67" t="n">
        <v>56.034483</v>
      </c>
      <c r="L67" t="n">
        <v>8.965517</v>
      </c>
      <c r="M67" t="n">
        <v>65</v>
      </c>
      <c r="N67" t="n">
        <v>0</v>
      </c>
      <c r="O67" t="inlineStr">
        <is>
          <t>Herramienta</t>
        </is>
      </c>
    </row>
    <row r="68">
      <c r="A68" t="inlineStr">
        <is>
          <t>R 01</t>
        </is>
      </c>
      <c r="B68" t="inlineStr">
        <is>
          <t>RODILLO 4"</t>
        </is>
      </c>
      <c r="C68" t="inlineStr">
        <is>
          <t>1 Pz</t>
        </is>
      </c>
      <c r="D68" t="n">
        <v>5</v>
      </c>
      <c r="E68" t="n">
        <v>0</v>
      </c>
      <c r="F68" t="n">
        <v>0</v>
      </c>
      <c r="G68" t="n">
        <v>0</v>
      </c>
      <c r="H68" t="n">
        <v>0</v>
      </c>
      <c r="I68" t="inlineStr">
        <is>
          <t>⚠️ REABASTECER</t>
        </is>
      </c>
      <c r="J68" t="n">
        <v>77.92</v>
      </c>
      <c r="K68" t="n">
        <v>68.96551700000001</v>
      </c>
      <c r="L68" t="n">
        <v>11.034483</v>
      </c>
      <c r="M68" t="n">
        <v>80</v>
      </c>
      <c r="N68" t="n">
        <v>0</v>
      </c>
      <c r="O68" t="inlineStr">
        <is>
          <t>Herramienta</t>
        </is>
      </c>
    </row>
    <row r="69">
      <c r="A69" t="inlineStr">
        <is>
          <t>R 02</t>
        </is>
      </c>
      <c r="B69" t="inlineStr">
        <is>
          <t>RODILLO 9"</t>
        </is>
      </c>
      <c r="C69" t="inlineStr">
        <is>
          <t>1 Pz</t>
        </is>
      </c>
      <c r="D69" t="n">
        <v>5</v>
      </c>
      <c r="E69" t="n">
        <v>0</v>
      </c>
      <c r="F69" t="n">
        <v>0</v>
      </c>
      <c r="G69" t="n">
        <v>0</v>
      </c>
      <c r="H69" t="n">
        <v>0</v>
      </c>
      <c r="I69" t="inlineStr">
        <is>
          <t>⚠️ REABASTECER</t>
        </is>
      </c>
      <c r="J69" t="n">
        <v>193.32</v>
      </c>
      <c r="K69" t="n">
        <v>172.413793</v>
      </c>
      <c r="L69" t="n">
        <v>27.586207</v>
      </c>
      <c r="M69" t="n">
        <v>200</v>
      </c>
      <c r="N69" t="n">
        <v>0</v>
      </c>
      <c r="O69" t="inlineStr">
        <is>
          <t>Herramienta</t>
        </is>
      </c>
    </row>
    <row r="70">
      <c r="A70" t="inlineStr">
        <is>
          <t>F 01</t>
        </is>
      </c>
      <c r="B70" t="inlineStr">
        <is>
          <t>FELPA 4"</t>
        </is>
      </c>
      <c r="C70" t="inlineStr">
        <is>
          <t>1 Pz</t>
        </is>
      </c>
      <c r="D70" t="n">
        <v>5</v>
      </c>
      <c r="E70" t="n">
        <v>0</v>
      </c>
      <c r="F70" t="n">
        <v>0</v>
      </c>
      <c r="G70" t="n">
        <v>0</v>
      </c>
      <c r="H70" t="n">
        <v>0</v>
      </c>
      <c r="I70" t="inlineStr">
        <is>
          <t>⚠️ REABASTECER</t>
        </is>
      </c>
      <c r="J70" t="n">
        <v>38.01</v>
      </c>
      <c r="K70" t="n">
        <v>34.482759</v>
      </c>
      <c r="L70" t="n">
        <v>5.517241</v>
      </c>
      <c r="M70" t="n">
        <v>40</v>
      </c>
      <c r="N70" t="n">
        <v>0</v>
      </c>
      <c r="O70" t="inlineStr">
        <is>
          <t>Herramienta</t>
        </is>
      </c>
    </row>
    <row r="71">
      <c r="A71" t="inlineStr">
        <is>
          <t>F 02</t>
        </is>
      </c>
      <c r="B71" t="inlineStr">
        <is>
          <t>FELPA 9"</t>
        </is>
      </c>
      <c r="C71" t="inlineStr">
        <is>
          <t>1 Pz</t>
        </is>
      </c>
      <c r="D71" t="n">
        <v>5</v>
      </c>
      <c r="E71" t="n">
        <v>0</v>
      </c>
      <c r="F71" t="n">
        <v>0</v>
      </c>
      <c r="G71" t="n">
        <v>0</v>
      </c>
      <c r="H71" t="n">
        <v>0</v>
      </c>
      <c r="I71" t="inlineStr">
        <is>
          <t>⚠️ REABASTECER</t>
        </is>
      </c>
      <c r="J71" t="n">
        <v>133.02</v>
      </c>
      <c r="K71" t="n">
        <v>120.689655</v>
      </c>
      <c r="L71" t="n">
        <v>19.310345</v>
      </c>
      <c r="M71" t="n">
        <v>140</v>
      </c>
      <c r="N71" t="n">
        <v>0</v>
      </c>
      <c r="O71" t="inlineStr">
        <is>
          <t>Herramienta</t>
        </is>
      </c>
    </row>
    <row r="72">
      <c r="A72" t="inlineStr">
        <is>
          <t>M 01</t>
        </is>
      </c>
      <c r="B72" t="inlineStr">
        <is>
          <t>MEZCLADOR</t>
        </is>
      </c>
      <c r="C72" t="inlineStr">
        <is>
          <t>1 Pz</t>
        </is>
      </c>
      <c r="D72" t="n">
        <v>5</v>
      </c>
      <c r="E72" t="n">
        <v>0</v>
      </c>
      <c r="F72" t="n">
        <v>0</v>
      </c>
      <c r="G72" t="n">
        <v>0</v>
      </c>
      <c r="H72" t="n">
        <v>0</v>
      </c>
      <c r="I72" t="inlineStr">
        <is>
          <t>⚠️ REABASTECER</t>
        </is>
      </c>
      <c r="J72" t="n">
        <v>0</v>
      </c>
      <c r="K72" t="n">
        <v>163.793103</v>
      </c>
      <c r="L72" t="n">
        <v>26.206897</v>
      </c>
      <c r="M72" t="n">
        <v>190.0000000000001</v>
      </c>
      <c r="N72" t="n">
        <v>0</v>
      </c>
      <c r="O72" t="inlineStr">
        <is>
          <t>Herramienta</t>
        </is>
      </c>
    </row>
    <row r="73">
      <c r="A73" t="inlineStr">
        <is>
          <t>ES 01</t>
        </is>
      </c>
      <c r="B73" t="inlineStr">
        <is>
          <t>EPOXI SPIKES UNITALLA</t>
        </is>
      </c>
      <c r="C73" t="inlineStr">
        <is>
          <t>1 Pz</t>
        </is>
      </c>
      <c r="D73" t="n">
        <v>5</v>
      </c>
      <c r="E73" t="n">
        <v>0</v>
      </c>
      <c r="F73" t="n">
        <v>0</v>
      </c>
      <c r="G73" t="n">
        <v>0</v>
      </c>
      <c r="H73" t="n">
        <v>0</v>
      </c>
      <c r="I73" t="inlineStr">
        <is>
          <t>⚠️ REABASTECER</t>
        </is>
      </c>
      <c r="J73" t="n">
        <v>660.26</v>
      </c>
      <c r="K73" t="n">
        <v>599.137931</v>
      </c>
      <c r="L73" t="n">
        <v>95.86206900000001</v>
      </c>
      <c r="M73" t="n">
        <v>695</v>
      </c>
      <c r="N73" t="n">
        <v>0</v>
      </c>
      <c r="O73" t="inlineStr">
        <is>
          <t>Herramienta</t>
        </is>
      </c>
    </row>
    <row r="74">
      <c r="A74" t="inlineStr">
        <is>
          <t>KB 01</t>
        </is>
      </c>
      <c r="B74" t="inlineStr">
        <is>
          <t>KIT DE BORLAS PARA PULIMENTO</t>
        </is>
      </c>
      <c r="C74" t="inlineStr">
        <is>
          <t>1 Pz</t>
        </is>
      </c>
      <c r="D74" t="n">
        <v>5</v>
      </c>
      <c r="E74" t="n">
        <v>0</v>
      </c>
      <c r="F74" t="n">
        <v>0</v>
      </c>
      <c r="G74" t="n">
        <v>0</v>
      </c>
      <c r="H74" t="n">
        <v>0</v>
      </c>
      <c r="I74" t="inlineStr">
        <is>
          <t>⚠️ REABASTECER</t>
        </is>
      </c>
      <c r="J74" t="n">
        <v>418</v>
      </c>
      <c r="K74" t="n">
        <v>379.310345</v>
      </c>
      <c r="L74" t="n">
        <v>60.689655</v>
      </c>
      <c r="M74" t="n">
        <v>440</v>
      </c>
      <c r="N74" t="n">
        <v>0</v>
      </c>
      <c r="O74" t="inlineStr">
        <is>
          <t>Herramienta</t>
        </is>
      </c>
    </row>
    <row r="75">
      <c r="A75" t="inlineStr">
        <is>
          <t>CD 01</t>
        </is>
      </c>
      <c r="B75" t="inlineStr">
        <is>
          <t>COPA DIAMANTE PARA DESBASTE 7"</t>
        </is>
      </c>
      <c r="C75" t="inlineStr">
        <is>
          <t>1 Pz</t>
        </is>
      </c>
      <c r="D75" t="n">
        <v>5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⚠️ REABASTECER</t>
        </is>
      </c>
      <c r="J75" t="n">
        <v>0</v>
      </c>
      <c r="K75" t="n">
        <v>1650.862069</v>
      </c>
      <c r="L75" t="n">
        <v>264.137931</v>
      </c>
      <c r="M75" t="n">
        <v>1915</v>
      </c>
      <c r="N75" t="n">
        <v>0</v>
      </c>
      <c r="O75" t="inlineStr">
        <is>
          <t>Herramienta</t>
        </is>
      </c>
    </row>
    <row r="76">
      <c r="A76" t="inlineStr">
        <is>
          <t>EB 01</t>
        </is>
      </c>
      <c r="B76" t="inlineStr">
        <is>
          <t>EPOXI BUBLES</t>
        </is>
      </c>
      <c r="C76" t="inlineStr">
        <is>
          <t>1 Pz</t>
        </is>
      </c>
      <c r="D76" t="n">
        <v>5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⚠️ REABASTECER</t>
        </is>
      </c>
      <c r="J76" t="n">
        <v>74.81</v>
      </c>
      <c r="K76" t="n">
        <v>77.586207</v>
      </c>
      <c r="L76" t="n">
        <v>12.413793</v>
      </c>
      <c r="M76" t="n">
        <v>90</v>
      </c>
      <c r="N76" t="n">
        <v>0</v>
      </c>
      <c r="O76" t="inlineStr">
        <is>
          <t>Herramienta</t>
        </is>
      </c>
    </row>
    <row r="77">
      <c r="A77" t="inlineStr">
        <is>
          <t>BD 01</t>
        </is>
      </c>
      <c r="B77" t="inlineStr">
        <is>
          <t>BÁSCULA DIGITAL CAPACIDAD 5kg</t>
        </is>
      </c>
      <c r="C77" t="inlineStr">
        <is>
          <t>1 Pz</t>
        </is>
      </c>
      <c r="D77" t="n">
        <v>5</v>
      </c>
      <c r="E77" t="n">
        <v>0</v>
      </c>
      <c r="F77" t="n">
        <v>0</v>
      </c>
      <c r="G77" t="n">
        <v>0</v>
      </c>
      <c r="H77" t="n">
        <v>0</v>
      </c>
      <c r="I77" t="inlineStr">
        <is>
          <t>⚠️ REABASTECER</t>
        </is>
      </c>
      <c r="J77" t="n">
        <v>0</v>
      </c>
      <c r="K77" t="n">
        <v>215.517241</v>
      </c>
      <c r="L77" t="n">
        <v>34.482759</v>
      </c>
      <c r="M77" t="n">
        <v>249.9999999999999</v>
      </c>
      <c r="N77" t="n">
        <v>0</v>
      </c>
      <c r="O77" t="inlineStr">
        <is>
          <t>Herramienta</t>
        </is>
      </c>
    </row>
    <row r="78">
      <c r="A78" t="inlineStr">
        <is>
          <t>LPE 01</t>
        </is>
      </c>
      <c r="B78" t="inlineStr">
        <is>
          <t>LIJADORA DE PISO ELÉCTRICA</t>
        </is>
      </c>
      <c r="C78" t="inlineStr">
        <is>
          <t>1 Pz</t>
        </is>
      </c>
      <c r="D78" t="n">
        <v>5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⚠️ REABASTECER</t>
        </is>
      </c>
      <c r="J78" t="n">
        <v>3452.64</v>
      </c>
      <c r="K78" t="n">
        <v>3447.413793</v>
      </c>
      <c r="L78" t="n">
        <v>551.5862069999999</v>
      </c>
      <c r="M78" t="n">
        <v>3999</v>
      </c>
      <c r="N78" t="n">
        <v>0</v>
      </c>
      <c r="O78" t="inlineStr">
        <is>
          <t>Herramienta</t>
        </is>
      </c>
    </row>
    <row r="79">
      <c r="A79" t="inlineStr">
        <is>
          <t>CN 01</t>
        </is>
      </c>
      <c r="B79" t="inlineStr">
        <is>
          <t>CÁSCARA DE NARANJA</t>
        </is>
      </c>
      <c r="C79" t="inlineStr">
        <is>
          <t>0 a 3.999 kg</t>
        </is>
      </c>
      <c r="D79" t="n">
        <v>5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⚠️ REABASTECER</t>
        </is>
      </c>
      <c r="J79" t="n">
        <v>444.45</v>
      </c>
      <c r="K79" t="n">
        <v>500</v>
      </c>
      <c r="L79" t="n">
        <v>80</v>
      </c>
      <c r="M79" t="n">
        <v>580</v>
      </c>
      <c r="N79" t="n">
        <v>0</v>
      </c>
      <c r="O79" t="inlineStr">
        <is>
          <t>Acabado</t>
        </is>
      </c>
    </row>
    <row r="80">
      <c r="A80" t="inlineStr">
        <is>
          <t>CN 02</t>
        </is>
      </c>
      <c r="B80" t="inlineStr">
        <is>
          <t>CÁSCARA DE NARANJA</t>
        </is>
      </c>
      <c r="C80" t="inlineStr">
        <is>
          <t>4 a 7.999 kg</t>
        </is>
      </c>
      <c r="D80" t="n">
        <v>5</v>
      </c>
      <c r="E80" t="n">
        <v>0</v>
      </c>
      <c r="F80" t="n">
        <v>0</v>
      </c>
      <c r="G80" t="n">
        <v>0</v>
      </c>
      <c r="H80" t="n">
        <v>0</v>
      </c>
      <c r="I80" t="inlineStr">
        <is>
          <t>⚠️ REABASTECER</t>
        </is>
      </c>
      <c r="J80" t="n">
        <v>433.74</v>
      </c>
      <c r="K80" t="n">
        <v>482.758621</v>
      </c>
      <c r="L80" t="n">
        <v>77.24137899999999</v>
      </c>
      <c r="M80" t="n">
        <v>560</v>
      </c>
      <c r="N80" t="n">
        <v>0</v>
      </c>
      <c r="O80" t="inlineStr">
        <is>
          <t>Acabado</t>
        </is>
      </c>
    </row>
    <row r="81">
      <c r="A81" t="inlineStr">
        <is>
          <t>CN 03</t>
        </is>
      </c>
      <c r="B81" t="inlineStr">
        <is>
          <t>CÁSCARA DE NARANJA</t>
        </is>
      </c>
      <c r="C81" t="inlineStr">
        <is>
          <t>8 a 19.999 kg</t>
        </is>
      </c>
      <c r="D81" t="n">
        <v>5</v>
      </c>
      <c r="E81" t="n">
        <v>0</v>
      </c>
      <c r="F81" t="n">
        <v>0</v>
      </c>
      <c r="G81" t="n">
        <v>0</v>
      </c>
      <c r="H81" t="n">
        <v>0</v>
      </c>
      <c r="I81" t="inlineStr">
        <is>
          <t>⚠️ REABASTECER</t>
        </is>
      </c>
      <c r="J81" t="n">
        <v>423.54</v>
      </c>
      <c r="K81" t="n">
        <v>465.517241</v>
      </c>
      <c r="L81" t="n">
        <v>74.482759</v>
      </c>
      <c r="M81" t="n">
        <v>540</v>
      </c>
      <c r="N81" t="n">
        <v>0</v>
      </c>
      <c r="O81" t="inlineStr">
        <is>
          <t>Acabado</t>
        </is>
      </c>
    </row>
    <row r="82">
      <c r="A82" t="inlineStr">
        <is>
          <t>CN 04</t>
        </is>
      </c>
      <c r="B82" t="inlineStr">
        <is>
          <t>CÁSCARA DE NARANJA</t>
        </is>
      </c>
      <c r="C82" t="inlineStr">
        <is>
          <t>+ 20 kg</t>
        </is>
      </c>
      <c r="D82" t="n">
        <v>5</v>
      </c>
      <c r="E82" t="n">
        <v>0</v>
      </c>
      <c r="F82" t="n">
        <v>0</v>
      </c>
      <c r="G82" t="n">
        <v>0</v>
      </c>
      <c r="H82" t="n">
        <v>0</v>
      </c>
      <c r="I82" t="inlineStr">
        <is>
          <t>⚠️ REABASTECER</t>
        </is>
      </c>
      <c r="J82" t="n">
        <v>413.8</v>
      </c>
      <c r="K82" t="n">
        <v>448.275862</v>
      </c>
      <c r="L82" t="n">
        <v>71.724138</v>
      </c>
      <c r="M82" t="n">
        <v>520</v>
      </c>
      <c r="N82" t="n">
        <v>0</v>
      </c>
      <c r="O82" t="inlineStr">
        <is>
          <t>Acabado</t>
        </is>
      </c>
    </row>
    <row r="83">
      <c r="A83" t="inlineStr">
        <is>
          <t>ESV 01</t>
        </is>
      </c>
      <c r="B83" t="inlineStr">
        <is>
          <t>ESTUCO VENECIANO</t>
        </is>
      </c>
      <c r="C83" t="inlineStr">
        <is>
          <t>1 L</t>
        </is>
      </c>
      <c r="D83" t="n">
        <v>5</v>
      </c>
      <c r="E83" t="n">
        <v>0</v>
      </c>
      <c r="F83" t="n">
        <v>0</v>
      </c>
      <c r="G83" t="n">
        <v>0</v>
      </c>
      <c r="H83" t="n">
        <v>0</v>
      </c>
      <c r="I83" t="inlineStr">
        <is>
          <t>⚠️ REABASTECER</t>
        </is>
      </c>
      <c r="J83" t="n">
        <v>400</v>
      </c>
      <c r="K83" t="n">
        <v>413.793103</v>
      </c>
      <c r="L83" t="n">
        <v>66.206897</v>
      </c>
      <c r="M83" t="n">
        <v>480</v>
      </c>
      <c r="N83" t="n">
        <v>0</v>
      </c>
      <c r="O83" t="inlineStr">
        <is>
          <t>Acabado</t>
        </is>
      </c>
    </row>
    <row r="84">
      <c r="A84" t="inlineStr">
        <is>
          <t>ESV 02</t>
        </is>
      </c>
      <c r="B84" t="inlineStr">
        <is>
          <t>ESTUCO VENECIANO</t>
        </is>
      </c>
      <c r="C84" t="inlineStr">
        <is>
          <t>4 L</t>
        </is>
      </c>
      <c r="D84" t="n">
        <v>5</v>
      </c>
      <c r="E84" t="n">
        <v>0</v>
      </c>
      <c r="F84" t="n">
        <v>0</v>
      </c>
      <c r="G84" t="n">
        <v>0</v>
      </c>
      <c r="H84" t="n">
        <v>0</v>
      </c>
      <c r="I84" t="inlineStr">
        <is>
          <t>⚠️ REABASTECER</t>
        </is>
      </c>
      <c r="J84" t="n">
        <v>1520</v>
      </c>
      <c r="K84" t="n">
        <v>1586.206897</v>
      </c>
      <c r="L84" t="n">
        <v>253.793103</v>
      </c>
      <c r="M84" t="n">
        <v>1840</v>
      </c>
      <c r="N84" t="n">
        <v>0</v>
      </c>
      <c r="O84" t="inlineStr">
        <is>
          <t>Acabado</t>
        </is>
      </c>
    </row>
    <row r="85">
      <c r="A85" t="inlineStr">
        <is>
          <t>ESV 03</t>
        </is>
      </c>
      <c r="B85" t="inlineStr">
        <is>
          <t>ESTUCO VENECIANO</t>
        </is>
      </c>
      <c r="C85" t="inlineStr">
        <is>
          <t>19 L</t>
        </is>
      </c>
      <c r="D85" t="n">
        <v>5</v>
      </c>
      <c r="E85" t="n">
        <v>0</v>
      </c>
      <c r="F85" t="n">
        <v>0</v>
      </c>
      <c r="G85" t="n">
        <v>0</v>
      </c>
      <c r="H85" t="n">
        <v>0</v>
      </c>
      <c r="I85" t="inlineStr">
        <is>
          <t>⚠️ REABASTECER</t>
        </is>
      </c>
      <c r="J85" t="n">
        <v>6859</v>
      </c>
      <c r="K85" t="n">
        <v>7206.896552</v>
      </c>
      <c r="L85" t="n">
        <v>1153.103448</v>
      </c>
      <c r="M85" t="n">
        <v>8360</v>
      </c>
      <c r="N85" t="n">
        <v>0</v>
      </c>
      <c r="O85" t="inlineStr">
        <is>
          <t>Acabado</t>
        </is>
      </c>
    </row>
    <row r="86">
      <c r="A86" t="inlineStr">
        <is>
          <t>GW 01</t>
        </is>
      </c>
      <c r="B86" t="inlineStr">
        <is>
          <t>GRANO WALL</t>
        </is>
      </c>
      <c r="C86" t="inlineStr">
        <is>
          <t>4 L</t>
        </is>
      </c>
      <c r="D86" t="n">
        <v>5</v>
      </c>
      <c r="E86" t="n">
        <v>0</v>
      </c>
      <c r="F86" t="n">
        <v>0</v>
      </c>
      <c r="G86" t="n">
        <v>0</v>
      </c>
      <c r="H86" t="n">
        <v>0</v>
      </c>
      <c r="I86" t="inlineStr">
        <is>
          <t>⚠️ REABASTECER</t>
        </is>
      </c>
      <c r="J86" t="n">
        <v>926.3200000000001</v>
      </c>
      <c r="K86" t="n">
        <v>948.275862</v>
      </c>
      <c r="L86" t="n">
        <v>151.724138</v>
      </c>
      <c r="M86" t="n">
        <v>1100</v>
      </c>
      <c r="N86" t="n">
        <v>0</v>
      </c>
      <c r="O86" t="inlineStr">
        <is>
          <t>Acabado</t>
        </is>
      </c>
    </row>
    <row r="87">
      <c r="A87" t="inlineStr">
        <is>
          <t>GW 02</t>
        </is>
      </c>
      <c r="B87" t="inlineStr">
        <is>
          <t>GRANO WALL</t>
        </is>
      </c>
      <c r="C87" t="inlineStr">
        <is>
          <t>19 L</t>
        </is>
      </c>
      <c r="D87" t="n">
        <v>5</v>
      </c>
      <c r="E87" t="n">
        <v>0</v>
      </c>
      <c r="F87" t="n">
        <v>0</v>
      </c>
      <c r="G87" t="n">
        <v>0</v>
      </c>
      <c r="H87" t="n">
        <v>0</v>
      </c>
      <c r="I87" t="inlineStr">
        <is>
          <t>⚠️ REABASTECER</t>
        </is>
      </c>
      <c r="J87" t="n">
        <v>3473.77</v>
      </c>
      <c r="K87" t="n">
        <v>3685.344828</v>
      </c>
      <c r="L87" t="n">
        <v>589.655172</v>
      </c>
      <c r="M87" t="n">
        <v>4275</v>
      </c>
      <c r="N87" t="n">
        <v>0</v>
      </c>
      <c r="O87" t="inlineStr">
        <is>
          <t>Acabado</t>
        </is>
      </c>
    </row>
    <row r="88">
      <c r="A88" t="inlineStr">
        <is>
          <t>EC 01</t>
        </is>
      </c>
      <c r="B88" t="inlineStr">
        <is>
          <t>EPOXY CUARZO</t>
        </is>
      </c>
      <c r="C88" t="inlineStr">
        <is>
          <t>0 a 59.999 kg</t>
        </is>
      </c>
      <c r="D88" t="n">
        <v>5</v>
      </c>
      <c r="E88" t="n">
        <v>0</v>
      </c>
      <c r="F88" t="n">
        <v>0</v>
      </c>
      <c r="G88" t="n">
        <v>0</v>
      </c>
      <c r="H88" t="n">
        <v>0</v>
      </c>
      <c r="I88" t="inlineStr">
        <is>
          <t>⚠️ REABASTECER</t>
        </is>
      </c>
      <c r="J88" t="n">
        <v>29.34</v>
      </c>
      <c r="K88" t="n">
        <v>30.172414</v>
      </c>
      <c r="L88" t="n">
        <v>4.827586</v>
      </c>
      <c r="M88" t="n">
        <v>35</v>
      </c>
      <c r="N88" t="n">
        <v>0</v>
      </c>
      <c r="O88" t="inlineStr">
        <is>
          <t>Complemento</t>
        </is>
      </c>
    </row>
    <row r="89">
      <c r="A89" t="inlineStr">
        <is>
          <t>EC 02</t>
        </is>
      </c>
      <c r="B89" t="inlineStr">
        <is>
          <t>EPOXY CUARZO</t>
        </is>
      </c>
      <c r="C89" t="inlineStr">
        <is>
          <t>+ 60 kg</t>
        </is>
      </c>
      <c r="D89" t="n">
        <v>5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⚠️ REABASTECER</t>
        </is>
      </c>
      <c r="J89" t="n">
        <v>29.34</v>
      </c>
      <c r="K89" t="n">
        <v>25.862069</v>
      </c>
      <c r="L89" t="n">
        <v>4.137931</v>
      </c>
      <c r="M89" t="n">
        <v>30</v>
      </c>
      <c r="N89" t="n">
        <v>0</v>
      </c>
      <c r="O89" t="inlineStr">
        <is>
          <t>Complemento</t>
        </is>
      </c>
    </row>
    <row r="90">
      <c r="A90" t="inlineStr">
        <is>
          <t>ESP 01</t>
        </is>
      </c>
      <c r="B90" t="inlineStr">
        <is>
          <t>EPOXY SPIKES PREMIUM</t>
        </is>
      </c>
      <c r="C90" t="inlineStr">
        <is>
          <t>1 Pz</t>
        </is>
      </c>
      <c r="D90" t="n">
        <v>5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⚠️ REABASTECER</t>
        </is>
      </c>
      <c r="J90" t="n">
        <v>2373.11</v>
      </c>
      <c r="K90" t="n">
        <v>2153.448276</v>
      </c>
      <c r="L90" t="n">
        <v>344.551724</v>
      </c>
      <c r="M90" t="n">
        <v>2498</v>
      </c>
      <c r="N90" t="n">
        <v>0</v>
      </c>
      <c r="O90" t="inlineStr">
        <is>
          <t>Herramienta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COTIZADOR Y CALCULADORA DE RENDIMIENTOS - NEMET</t>
        </is>
      </c>
    </row>
    <row r="3">
      <c r="A3" t="inlineStr">
        <is>
          <t>INSTRUCCIONES: Ingrese en la tabla de abajo el producto que desea el cliente, los metros cuadrados (m²) y el espesor deseado (mm). El sistema calculará automáticamente la presentación ideal y el costo total.</t>
        </is>
      </c>
    </row>
    <row r="5">
      <c r="A5" t="inlineStr">
        <is>
          <t>--- DATOS DE COTIZACIÓN PARA EL CLIENTE ---</t>
        </is>
      </c>
    </row>
    <row r="6">
      <c r="A6" t="inlineStr">
        <is>
          <t>Producto Seleccionado</t>
        </is>
      </c>
      <c r="B6" t="inlineStr">
        <is>
          <t>EPOXY PISOS (A Y B) TRANSPARENTE</t>
        </is>
      </c>
    </row>
    <row r="7">
      <c r="A7" t="inlineStr">
        <is>
          <t>Área del Espacio (m²)</t>
        </is>
      </c>
      <c r="B7" t="n">
        <v>16</v>
      </c>
    </row>
    <row r="8">
      <c r="A8" t="inlineStr">
        <is>
          <t>Espesor Requerido (mm)</t>
        </is>
      </c>
      <c r="B8" t="n">
        <v>1</v>
      </c>
    </row>
    <row r="9">
      <c r="A9" t="inlineStr">
        <is>
          <t>Rendimiento Teórico (kg/m² por mm)</t>
        </is>
      </c>
      <c r="B9">
        <f>VLOOKUP(B6, Cat_Productos!$A$2:$G$58, 5, FALSE)</f>
        <v/>
      </c>
    </row>
    <row r="11">
      <c r="A11" t="inlineStr">
        <is>
          <t>TOTAL DE MATERIAL NECESARIO (kg)</t>
        </is>
      </c>
      <c r="B11">
        <f>B7*B8*B9</f>
        <v/>
      </c>
      <c r="C11" t="inlineStr">
        <is>
          <t>kg</t>
        </is>
      </c>
    </row>
    <row r="13">
      <c r="A13" t="inlineStr">
        <is>
          <t>--- PRESENTACIONES DISPONIBLES Y RECOMENDACIÓN DE VENTA ---</t>
        </is>
      </c>
    </row>
    <row r="14">
      <c r="A14" t="inlineStr">
        <is>
          <t>Presentación (kg)</t>
        </is>
      </c>
      <c r="B14" t="inlineStr">
        <is>
          <t>Precio Público (IVA Inc.)</t>
        </is>
      </c>
      <c r="C14" t="inlineStr">
        <is>
          <t>Costo por kg</t>
        </is>
      </c>
      <c r="D14" t="inlineStr">
        <is>
          <t>¿Cuántas unidades incluir?</t>
        </is>
      </c>
      <c r="E14" t="inlineStr">
        <is>
          <t>Kg aportados</t>
        </is>
      </c>
      <c r="F14" t="inlineStr">
        <is>
          <t>Subtotal ($)</t>
        </is>
      </c>
    </row>
    <row r="15">
      <c r="A15" s="1" t="n">
        <v>1.5</v>
      </c>
      <c r="B15" s="2">
        <f>IFERROR(SUMIFS(Cat_Productos!$D$2:$D$58, Cat_Productos!$A$2:$A$58, $B$6, Cat_Productos!$C$2:$C$58, A15), 0)</f>
        <v/>
      </c>
      <c r="C15" s="3">
        <f>IFERROR(B15/A15, 0)</f>
        <v/>
      </c>
      <c r="D15" t="n">
        <v>0</v>
      </c>
      <c r="E15" s="1">
        <f>A15*D15</f>
        <v/>
      </c>
      <c r="F15" s="2">
        <f>B15*D15</f>
        <v/>
      </c>
    </row>
    <row r="16">
      <c r="A16" s="1" t="n">
        <v>3</v>
      </c>
      <c r="B16" s="2">
        <f>IFERROR(SUMIFS(Cat_Productos!$D$2:$D$58, Cat_Productos!$A$2:$A$58, $B$6, Cat_Productos!$C$2:$C$58, A16), 0)</f>
        <v/>
      </c>
      <c r="C16" s="3">
        <f>IFERROR(B16/A16, 0)</f>
        <v/>
      </c>
      <c r="D16" t="n">
        <v>0</v>
      </c>
      <c r="E16" s="1">
        <f>A16*D16</f>
        <v/>
      </c>
      <c r="F16" s="2">
        <f>B16*D16</f>
        <v/>
      </c>
    </row>
    <row r="17">
      <c r="A17" s="1" t="n">
        <v>6</v>
      </c>
      <c r="B17" s="2">
        <f>IFERROR(SUMIFS(Cat_Productos!$D$2:$D$58, Cat_Productos!$A$2:$A$58, $B$6, Cat_Productos!$C$2:$C$58, A17), 0)</f>
        <v/>
      </c>
      <c r="C17" s="3">
        <f>IFERROR(B17/A17, 0)</f>
        <v/>
      </c>
      <c r="D17" t="n">
        <v>0</v>
      </c>
      <c r="E17" s="1">
        <f>A17*D17</f>
        <v/>
      </c>
      <c r="F17" s="2">
        <f>B17*D17</f>
        <v/>
      </c>
    </row>
    <row r="18">
      <c r="A18" s="1" t="n">
        <v>10</v>
      </c>
      <c r="B18" s="2">
        <f>IFERROR(SUMIFS(Cat_Productos!$D$2:$D$58, Cat_Productos!$A$2:$A$58, $B$6, Cat_Productos!$C$2:$C$58, A18), 0)</f>
        <v/>
      </c>
      <c r="C18" s="3">
        <f>IFERROR(B18/A18, 0)</f>
        <v/>
      </c>
      <c r="D18" t="n">
        <v>0</v>
      </c>
      <c r="E18" s="1">
        <f>A18*D18</f>
        <v/>
      </c>
      <c r="F18" s="2">
        <f>B18*D18</f>
        <v/>
      </c>
    </row>
    <row r="19">
      <c r="A19" s="1" t="n">
        <v>15</v>
      </c>
      <c r="B19" s="2">
        <f>IFERROR(SUMIFS(Cat_Productos!$D$2:$D$58, Cat_Productos!$A$2:$A$58, $B$6, Cat_Productos!$C$2:$C$58, A19), 0)</f>
        <v/>
      </c>
      <c r="C19" s="3">
        <f>IFERROR(B19/A19, 0)</f>
        <v/>
      </c>
      <c r="D19" t="n">
        <v>0</v>
      </c>
      <c r="E19" s="1">
        <f>A19*D19</f>
        <v/>
      </c>
      <c r="F19" s="2">
        <f>B19*D19</f>
        <v/>
      </c>
    </row>
    <row r="20">
      <c r="A20" s="1" t="n">
        <v>20</v>
      </c>
      <c r="B20" s="2">
        <f>IFERROR(SUMIFS(Cat_Productos!$D$2:$D$58, Cat_Productos!$A$2:$A$58, $B$6, Cat_Productos!$C$2:$C$58, A20), 0)</f>
        <v/>
      </c>
      <c r="C20" s="3">
        <f>IFERROR(B20/A20, 0)</f>
        <v/>
      </c>
      <c r="D20">
        <f>ROUNDUP(B11/A20, 0)</f>
        <v/>
      </c>
      <c r="E20" s="1">
        <f>A20*D20</f>
        <v/>
      </c>
      <c r="F20" s="2">
        <f>B20*D20</f>
        <v/>
      </c>
    </row>
    <row r="22">
      <c r="A22" t="inlineStr">
        <is>
          <t>TOTAL KILOGRAMOS CUBIERTOS</t>
        </is>
      </c>
      <c r="B22" s="1">
        <f>SUM(E15:E20)</f>
        <v/>
      </c>
      <c r="C22" t="inlineStr">
        <is>
          <t>kg (Debe cubrir al menos 19.2 kg)</t>
        </is>
      </c>
    </row>
    <row r="23">
      <c r="A23" t="inlineStr">
        <is>
          <t>TOTAL A PAGAR POR EL CLIENTE (IVA Inc.)</t>
        </is>
      </c>
      <c r="B23" s="2">
        <f>SUM(F15:F20)</f>
        <v/>
      </c>
      <c r="C23" t="inlineStr">
        <is>
          <t>$ MXN</t>
        </is>
      </c>
    </row>
    <row r="25">
      <c r="A25" t="inlineStr">
        <is>
          <t>--- PROPORCIÓN DE MEZCLA (PARTE A Y PARTE B) ---</t>
        </is>
      </c>
    </row>
    <row r="26">
      <c r="A26" t="inlineStr">
        <is>
          <t>Componente</t>
        </is>
      </c>
      <c r="B26" t="inlineStr">
        <is>
          <t>Proporción / Relación</t>
        </is>
      </c>
      <c r="C26" t="inlineStr">
        <is>
          <t>Kg a mezclar según total requerido</t>
        </is>
      </c>
    </row>
    <row r="27">
      <c r="A27" t="inlineStr">
        <is>
          <t>Parte A (Resina)</t>
        </is>
      </c>
      <c r="B27" t="inlineStr">
        <is>
          <t>100 partes</t>
        </is>
      </c>
      <c r="C27">
        <f>B11 * (100 / (100 + IFERROR(SUMIFS(Cat_Productos!$G$2:$G$58, Cat_Productos!$A$2:$A$58, $B$6), 50)))</f>
        <v/>
      </c>
      <c r="D27" t="inlineStr">
        <is>
          <t>kg</t>
        </is>
      </c>
    </row>
    <row r="28">
      <c r="A28" t="inlineStr">
        <is>
          <t>Parte B (Catalizador)</t>
        </is>
      </c>
      <c r="B28" t="inlineStr">
        <is>
          <t>50 partes</t>
        </is>
      </c>
      <c r="C28">
        <f>B11 - C27</f>
        <v/>
      </c>
      <c r="D28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Unnamed: 1</t>
        </is>
      </c>
      <c r="C1" t="inlineStr">
        <is>
          <t>Presentacion</t>
        </is>
      </c>
      <c r="D1" t="inlineStr">
        <is>
          <t>PrecioPublico</t>
        </is>
      </c>
      <c r="E1" t="inlineStr">
        <is>
          <t>Rendimiento</t>
        </is>
      </c>
      <c r="F1" t="inlineStr">
        <is>
          <t>Prop_A</t>
        </is>
      </c>
      <c r="G1" t="inlineStr">
        <is>
          <t>Prop_B</t>
        </is>
      </c>
      <c r="H1" t="inlineStr">
        <is>
          <t>Dosis_g_m2</t>
        </is>
      </c>
      <c r="I1" t="inlineStr">
        <is>
          <t>Fuente_Dosis</t>
        </is>
      </c>
    </row>
    <row r="2">
      <c r="A2" t="inlineStr">
        <is>
          <t>EPOXY PISOS (A Y B) TRANSPARENTE</t>
        </is>
      </c>
      <c r="B2" t="inlineStr"/>
      <c r="C2" t="n">
        <v>1.5</v>
      </c>
      <c r="D2" t="n">
        <v>720</v>
      </c>
      <c r="E2" t="n">
        <v>1.2</v>
      </c>
      <c r="F2" t="n">
        <v>100</v>
      </c>
      <c r="G2" t="n">
        <v>50</v>
      </c>
      <c r="H2" t="inlineStr"/>
      <c r="I2" t="inlineStr"/>
    </row>
    <row r="3">
      <c r="A3" t="inlineStr">
        <is>
          <t>EPOXY PISOS (A Y B) TRANSPARENTE</t>
        </is>
      </c>
      <c r="B3" t="inlineStr"/>
      <c r="C3" t="n">
        <v>3</v>
      </c>
      <c r="D3" t="n">
        <v>1440</v>
      </c>
      <c r="E3" t="n">
        <v>1.2</v>
      </c>
      <c r="F3" t="n">
        <v>100</v>
      </c>
      <c r="G3" t="n">
        <v>50</v>
      </c>
      <c r="H3" t="inlineStr"/>
      <c r="I3" t="inlineStr"/>
    </row>
    <row r="4">
      <c r="A4" t="inlineStr">
        <is>
          <t>EPOXY PISOS (A Y B) TRANSPARENTE</t>
        </is>
      </c>
      <c r="B4" t="inlineStr"/>
      <c r="C4" t="n">
        <v>6</v>
      </c>
      <c r="D4" t="n">
        <v>2760</v>
      </c>
      <c r="E4" t="n">
        <v>1.2</v>
      </c>
      <c r="F4" t="n">
        <v>100</v>
      </c>
      <c r="G4" t="n">
        <v>50</v>
      </c>
      <c r="H4" t="inlineStr"/>
      <c r="I4" t="inlineStr"/>
    </row>
    <row r="5">
      <c r="A5" t="inlineStr">
        <is>
          <t>EPOXY PISOS (A Y B) TRANSPARENTE</t>
        </is>
      </c>
      <c r="B5" t="inlineStr"/>
      <c r="C5" t="n">
        <v>10</v>
      </c>
      <c r="D5" t="n">
        <v>4400</v>
      </c>
      <c r="E5" t="n">
        <v>1.2</v>
      </c>
      <c r="F5" t="n">
        <v>100</v>
      </c>
      <c r="G5" t="n">
        <v>50</v>
      </c>
      <c r="H5" t="inlineStr"/>
      <c r="I5" t="inlineStr"/>
    </row>
    <row r="6">
      <c r="A6" t="inlineStr">
        <is>
          <t>EPOXY PISOS (A Y B) TRANSPARENTE</t>
        </is>
      </c>
      <c r="B6" t="inlineStr"/>
      <c r="C6" t="n">
        <v>15</v>
      </c>
      <c r="D6" t="n">
        <v>6300</v>
      </c>
      <c r="E6" t="n">
        <v>1.2</v>
      </c>
      <c r="F6" t="n">
        <v>100</v>
      </c>
      <c r="G6" t="n">
        <v>50</v>
      </c>
      <c r="H6" t="inlineStr"/>
      <c r="I6" t="inlineStr"/>
    </row>
    <row r="7">
      <c r="A7" t="inlineStr">
        <is>
          <t>EPOXY PISOS (A Y B) TRANSPARENTE</t>
        </is>
      </c>
      <c r="B7" t="inlineStr"/>
      <c r="C7" t="n">
        <v>20</v>
      </c>
      <c r="D7" t="n">
        <v>8000</v>
      </c>
      <c r="E7" t="n">
        <v>1.2</v>
      </c>
      <c r="F7" t="n">
        <v>100</v>
      </c>
      <c r="G7" t="n">
        <v>50</v>
      </c>
      <c r="H7" t="inlineStr"/>
      <c r="I7" t="inlineStr"/>
    </row>
    <row r="8">
      <c r="A8" t="inlineStr">
        <is>
          <t>EPO-FAST (A Y B) TRANSPARENTE</t>
        </is>
      </c>
      <c r="B8" t="inlineStr"/>
      <c r="C8" t="n">
        <v>2</v>
      </c>
      <c r="D8" t="n">
        <v>960</v>
      </c>
      <c r="E8" t="n">
        <v>1</v>
      </c>
      <c r="F8" t="n">
        <v>100</v>
      </c>
      <c r="G8" t="n">
        <v>84</v>
      </c>
      <c r="H8" t="inlineStr"/>
      <c r="I8" t="inlineStr"/>
    </row>
    <row r="9">
      <c r="A9" t="inlineStr">
        <is>
          <t>EPO-FAST (A Y B) TRANSPARENTE</t>
        </is>
      </c>
      <c r="B9" t="inlineStr"/>
      <c r="C9" t="n">
        <v>6</v>
      </c>
      <c r="D9" t="n">
        <v>2760</v>
      </c>
      <c r="E9" t="n">
        <v>1</v>
      </c>
      <c r="F9" t="n">
        <v>100</v>
      </c>
      <c r="G9" t="n">
        <v>84</v>
      </c>
      <c r="H9" t="inlineStr"/>
      <c r="I9" t="inlineStr"/>
    </row>
    <row r="10">
      <c r="A10" t="inlineStr">
        <is>
          <t>EPO-FAST (A Y B) TRANSPARENTE</t>
        </is>
      </c>
      <c r="B10" t="inlineStr"/>
      <c r="C10" t="n">
        <v>10</v>
      </c>
      <c r="D10" t="n">
        <v>4400</v>
      </c>
      <c r="E10" t="n">
        <v>1</v>
      </c>
      <c r="F10" t="n">
        <v>100</v>
      </c>
      <c r="G10" t="n">
        <v>84</v>
      </c>
      <c r="H10" t="inlineStr"/>
      <c r="I10" t="inlineStr"/>
    </row>
    <row r="11">
      <c r="A11" t="inlineStr">
        <is>
          <t>EPO-FAST (A Y B) TRANSPARENTE</t>
        </is>
      </c>
      <c r="B11" t="inlineStr"/>
      <c r="C11" t="n">
        <v>19</v>
      </c>
      <c r="D11" t="n">
        <v>7980</v>
      </c>
      <c r="E11" t="n">
        <v>1</v>
      </c>
      <c r="F11" t="n">
        <v>100</v>
      </c>
      <c r="G11" t="n">
        <v>84</v>
      </c>
      <c r="H11" t="inlineStr"/>
      <c r="I11" t="inlineStr"/>
    </row>
    <row r="12">
      <c r="A12" t="inlineStr">
        <is>
          <t>EPO-DEEP TRANSPARENTE</t>
        </is>
      </c>
      <c r="B12" t="inlineStr"/>
      <c r="C12" t="n">
        <v>1.42</v>
      </c>
      <c r="D12" t="n">
        <v>795</v>
      </c>
      <c r="E12" t="n">
        <v>1.07</v>
      </c>
      <c r="F12" t="n">
        <v>100</v>
      </c>
      <c r="G12" t="n">
        <v>42</v>
      </c>
      <c r="H12" t="inlineStr"/>
      <c r="I12" t="inlineStr"/>
    </row>
    <row r="13">
      <c r="A13" t="inlineStr">
        <is>
          <t>EPO-DEEP TRANSPARENTE</t>
        </is>
      </c>
      <c r="B13" t="inlineStr"/>
      <c r="C13" t="n">
        <v>4.26</v>
      </c>
      <c r="D13" t="n">
        <v>2386</v>
      </c>
      <c r="E13" t="n">
        <v>1.07</v>
      </c>
      <c r="F13" t="n">
        <v>100</v>
      </c>
      <c r="G13" t="n">
        <v>42</v>
      </c>
      <c r="H13" t="inlineStr"/>
      <c r="I13" t="inlineStr"/>
    </row>
    <row r="14">
      <c r="A14" t="inlineStr">
        <is>
          <t>EPO-DEEP TRANSPARENTE</t>
        </is>
      </c>
      <c r="B14" t="inlineStr"/>
      <c r="C14" t="n">
        <v>7.1</v>
      </c>
      <c r="D14" t="n">
        <v>3692</v>
      </c>
      <c r="E14" t="n">
        <v>1.07</v>
      </c>
      <c r="F14" t="n">
        <v>100</v>
      </c>
      <c r="G14" t="n">
        <v>42</v>
      </c>
      <c r="H14" t="inlineStr"/>
      <c r="I14" t="inlineStr"/>
    </row>
    <row r="15">
      <c r="A15" t="inlineStr">
        <is>
          <t>EPO-DEEP TRANSPARENTE</t>
        </is>
      </c>
      <c r="B15" t="inlineStr"/>
      <c r="C15" t="n">
        <v>17.04</v>
      </c>
      <c r="D15" t="n">
        <v>8520</v>
      </c>
      <c r="E15" t="n">
        <v>1.07</v>
      </c>
      <c r="F15" t="n">
        <v>100</v>
      </c>
      <c r="G15" t="n">
        <v>42</v>
      </c>
      <c r="H15" t="inlineStr"/>
      <c r="I15" t="inlineStr"/>
    </row>
    <row r="16">
      <c r="A16" t="inlineStr">
        <is>
          <t>EPOXY PRIMER (A Y B) TRANSPARENTE</t>
        </is>
      </c>
      <c r="B16" t="inlineStr"/>
      <c r="C16" t="n">
        <v>1.35</v>
      </c>
      <c r="D16" t="n">
        <v>540</v>
      </c>
      <c r="E16" t="n">
        <v>0.3333</v>
      </c>
      <c r="F16" t="n">
        <v>100</v>
      </c>
      <c r="G16" t="n">
        <v>35</v>
      </c>
      <c r="H16" t="inlineStr"/>
      <c r="I16" t="inlineStr"/>
    </row>
    <row r="17">
      <c r="A17" t="inlineStr">
        <is>
          <t>EPOXY PRIMER (A Y B) TRANSPARENTE</t>
        </is>
      </c>
      <c r="B17" t="inlineStr"/>
      <c r="C17" t="n">
        <v>10</v>
      </c>
      <c r="D17" t="n">
        <v>3800</v>
      </c>
      <c r="E17" t="n">
        <v>0.3333</v>
      </c>
      <c r="F17" t="n">
        <v>100</v>
      </c>
      <c r="G17" t="n">
        <v>35</v>
      </c>
      <c r="H17" t="inlineStr"/>
      <c r="I17" t="inlineStr"/>
    </row>
    <row r="18">
      <c r="A18" t="inlineStr">
        <is>
          <t>EPOXY PRIMER (A Y B) TRANSPARENTE</t>
        </is>
      </c>
      <c r="B18" t="inlineStr"/>
      <c r="C18" t="n">
        <v>20.025</v>
      </c>
      <c r="D18" t="n">
        <v>7409</v>
      </c>
      <c r="E18" t="n">
        <v>0.3333</v>
      </c>
      <c r="F18" t="n">
        <v>100</v>
      </c>
      <c r="G18" t="n">
        <v>35</v>
      </c>
      <c r="H18" t="inlineStr"/>
      <c r="I18" t="inlineStr"/>
    </row>
    <row r="19">
      <c r="A19" t="inlineStr">
        <is>
          <t>EPO-DEEP ULTRA (A Y B) TRANSPARENTE</t>
        </is>
      </c>
      <c r="B19" t="inlineStr"/>
      <c r="C19" t="n">
        <v>1.333</v>
      </c>
      <c r="D19" t="n">
        <v>640</v>
      </c>
      <c r="E19" t="n">
        <v>1.07</v>
      </c>
      <c r="F19" t="n">
        <v>100</v>
      </c>
      <c r="G19" t="n">
        <v>33</v>
      </c>
      <c r="H19" t="inlineStr"/>
      <c r="I19" t="inlineStr"/>
    </row>
    <row r="20">
      <c r="A20" t="inlineStr">
        <is>
          <t>EPO-DEEP ULTRA (A Y B) TRANSPARENTE</t>
        </is>
      </c>
      <c r="B20" t="inlineStr"/>
      <c r="C20" t="n">
        <v>6.65</v>
      </c>
      <c r="D20" t="n">
        <v>3192</v>
      </c>
      <c r="E20" t="n">
        <v>1.07</v>
      </c>
      <c r="F20" t="n">
        <v>100</v>
      </c>
      <c r="G20" t="n">
        <v>33</v>
      </c>
      <c r="H20" t="inlineStr"/>
      <c r="I20" t="inlineStr"/>
    </row>
    <row r="21">
      <c r="A21" t="inlineStr">
        <is>
          <t>EPO-DEEP ULTRA (A Y B) TRANSPARENTE</t>
        </is>
      </c>
      <c r="B21" t="inlineStr"/>
      <c r="C21" t="n">
        <v>13.3</v>
      </c>
      <c r="D21" t="n">
        <v>5852</v>
      </c>
      <c r="E21" t="n">
        <v>1.07</v>
      </c>
      <c r="F21" t="n">
        <v>100</v>
      </c>
      <c r="G21" t="n">
        <v>33</v>
      </c>
      <c r="H21" t="inlineStr"/>
      <c r="I21" t="inlineStr"/>
    </row>
    <row r="22">
      <c r="A22" t="inlineStr">
        <is>
          <t>EPO-DEEP ULTRA (A Y B) TRANSPARENTE</t>
        </is>
      </c>
      <c r="B22" t="inlineStr"/>
      <c r="C22" t="n">
        <v>24</v>
      </c>
      <c r="D22" t="n">
        <v>10080</v>
      </c>
      <c r="E22" t="n">
        <v>1.07</v>
      </c>
      <c r="F22" t="n">
        <v>100</v>
      </c>
      <c r="G22" t="n">
        <v>33</v>
      </c>
      <c r="H22" t="inlineStr"/>
      <c r="I22" t="inlineStr"/>
    </row>
    <row r="23">
      <c r="A23" t="inlineStr">
        <is>
          <t>POLIURETANO (A Y B) TRANSPARENTE</t>
        </is>
      </c>
      <c r="B23" t="inlineStr"/>
      <c r="C23" t="n">
        <v>1</v>
      </c>
      <c r="D23" t="n">
        <v>460</v>
      </c>
      <c r="E23" t="n">
        <v>0.1</v>
      </c>
      <c r="F23" t="n">
        <v>100</v>
      </c>
      <c r="G23" t="n">
        <v>50</v>
      </c>
      <c r="H23" t="inlineStr"/>
      <c r="I23" t="inlineStr"/>
    </row>
    <row r="24">
      <c r="A24" t="inlineStr">
        <is>
          <t>POLIURETANO (A Y B) TRANSPARENTE</t>
        </is>
      </c>
      <c r="B24" t="inlineStr"/>
      <c r="C24" t="n">
        <v>5</v>
      </c>
      <c r="D24" t="n">
        <v>2090</v>
      </c>
      <c r="E24" t="n">
        <v>0.1</v>
      </c>
      <c r="F24" t="n">
        <v>100</v>
      </c>
      <c r="G24" t="n">
        <v>50</v>
      </c>
      <c r="H24" t="inlineStr"/>
      <c r="I24" t="inlineStr"/>
    </row>
    <row r="25">
      <c r="A25" t="inlineStr">
        <is>
          <t>POLIURETANO (A Y B) TRANSPARENTE</t>
        </is>
      </c>
      <c r="B25" t="inlineStr"/>
      <c r="C25" t="n">
        <v>10</v>
      </c>
      <c r="D25" t="n">
        <v>4180</v>
      </c>
      <c r="E25" t="n">
        <v>0.1</v>
      </c>
      <c r="F25" t="n">
        <v>100</v>
      </c>
      <c r="G25" t="n">
        <v>50</v>
      </c>
      <c r="H25" t="inlineStr"/>
      <c r="I25" t="inlineStr"/>
    </row>
    <row r="26">
      <c r="A26" t="inlineStr">
        <is>
          <t>POLIURETANO (A Y B) TRANSPARENTE</t>
        </is>
      </c>
      <c r="B26" t="inlineStr"/>
      <c r="C26" t="n">
        <v>20</v>
      </c>
      <c r="D26" t="n">
        <v>8250</v>
      </c>
      <c r="E26" t="n">
        <v>0.1</v>
      </c>
      <c r="F26" t="n">
        <v>100</v>
      </c>
      <c r="G26" t="n">
        <v>50</v>
      </c>
      <c r="H26" t="inlineStr"/>
      <c r="I26" t="inlineStr"/>
    </row>
    <row r="27">
      <c r="A27" t="inlineStr">
        <is>
          <t>EPOXY PASTA COLORES SÓLIDOS</t>
        </is>
      </c>
      <c r="B27" t="inlineStr"/>
      <c r="C27" t="n">
        <v>60</v>
      </c>
      <c r="D27" t="n">
        <v>75</v>
      </c>
      <c r="E27" t="inlineStr"/>
      <c r="F27" t="n">
        <v>100</v>
      </c>
      <c r="G27" t="n">
        <v>0</v>
      </c>
      <c r="H27" t="n">
        <v>10</v>
      </c>
      <c r="I27" t="inlineStr">
        <is>
          <t>Manual NEMET: 10 g/m²</t>
        </is>
      </c>
    </row>
    <row r="28">
      <c r="A28" t="inlineStr">
        <is>
          <t>EPOXY PASTA COLORES SÓLIDOS</t>
        </is>
      </c>
      <c r="B28" t="inlineStr"/>
      <c r="C28" t="n">
        <v>100</v>
      </c>
      <c r="D28" t="n">
        <v>112</v>
      </c>
      <c r="E28" t="inlineStr"/>
      <c r="F28" t="n">
        <v>100</v>
      </c>
      <c r="G28" t="n">
        <v>0</v>
      </c>
      <c r="H28" t="n">
        <v>10</v>
      </c>
      <c r="I28" t="inlineStr">
        <is>
          <t>Manual NEMET: 10 g/m²</t>
        </is>
      </c>
    </row>
    <row r="29">
      <c r="A29" t="inlineStr">
        <is>
          <t>EPOXY PASTA COLORES SÓLIDOS</t>
        </is>
      </c>
      <c r="B29" t="inlineStr"/>
      <c r="C29" t="n">
        <v>250</v>
      </c>
      <c r="D29" t="n">
        <v>270</v>
      </c>
      <c r="E29" t="inlineStr"/>
      <c r="F29" t="n">
        <v>100</v>
      </c>
      <c r="G29" t="n">
        <v>0</v>
      </c>
      <c r="H29" t="n">
        <v>10</v>
      </c>
      <c r="I29" t="inlineStr">
        <is>
          <t>Manual NEMET: 10 g/m²</t>
        </is>
      </c>
    </row>
    <row r="30">
      <c r="A30" t="inlineStr">
        <is>
          <t>EPOXY PASTA COLORES SÓLIDOS</t>
        </is>
      </c>
      <c r="B30" t="inlineStr"/>
      <c r="C30" t="n">
        <v>500</v>
      </c>
      <c r="D30" t="n">
        <v>520</v>
      </c>
      <c r="E30" t="inlineStr"/>
      <c r="F30" t="n">
        <v>100</v>
      </c>
      <c r="G30" t="n">
        <v>0</v>
      </c>
      <c r="H30" t="n">
        <v>10</v>
      </c>
      <c r="I30" t="inlineStr">
        <is>
          <t>Manual NEMET: 10 g/m²</t>
        </is>
      </c>
    </row>
    <row r="31">
      <c r="A31" t="inlineStr">
        <is>
          <t>EPOXY PASTA COLORES SÓLIDOS</t>
        </is>
      </c>
      <c r="B31" t="inlineStr"/>
      <c r="C31" t="n">
        <v>1</v>
      </c>
      <c r="D31" t="n">
        <v>840</v>
      </c>
      <c r="E31" t="inlineStr"/>
      <c r="F31" t="n">
        <v>100</v>
      </c>
      <c r="G31" t="n">
        <v>0</v>
      </c>
      <c r="H31" t="n">
        <v>10</v>
      </c>
      <c r="I31" t="inlineStr">
        <is>
          <t>Manual NEMET: 10 g/m²</t>
        </is>
      </c>
    </row>
    <row r="32">
      <c r="A32" t="inlineStr">
        <is>
          <t>EPOXY TINTA</t>
        </is>
      </c>
      <c r="B32" t="inlineStr"/>
      <c r="C32" t="n">
        <v>20</v>
      </c>
      <c r="D32" t="n">
        <v>25</v>
      </c>
      <c r="E32" t="inlineStr"/>
      <c r="F32" t="n">
        <v>100</v>
      </c>
      <c r="G32" t="n">
        <v>0</v>
      </c>
      <c r="H32" t="n">
        <v>60</v>
      </c>
      <c r="I32" t="inlineStr">
        <is>
          <t>Referencia de trabajo: ≈60 ml/m² (1 L ≈ 16 m²); ajustar si el manual la especifica</t>
        </is>
      </c>
    </row>
    <row r="33">
      <c r="A33" t="inlineStr">
        <is>
          <t>EPOXY TINTA</t>
        </is>
      </c>
      <c r="B33" t="inlineStr"/>
      <c r="C33" t="n">
        <v>60</v>
      </c>
      <c r="D33" t="n">
        <v>65</v>
      </c>
      <c r="E33" t="inlineStr"/>
      <c r="F33" t="n">
        <v>100</v>
      </c>
      <c r="G33" t="n">
        <v>0</v>
      </c>
      <c r="H33" t="n">
        <v>60</v>
      </c>
      <c r="I33" t="inlineStr">
        <is>
          <t>Referencia de trabajo: ≈60 ml/m² (1 L ≈ 16 m²); ajustar si el manual la especifica</t>
        </is>
      </c>
    </row>
    <row r="34">
      <c r="A34" t="inlineStr">
        <is>
          <t>EPOXY TINTA</t>
        </is>
      </c>
      <c r="B34" t="inlineStr"/>
      <c r="C34" t="n">
        <v>100</v>
      </c>
      <c r="D34" t="n">
        <v>110</v>
      </c>
      <c r="E34" t="inlineStr"/>
      <c r="F34" t="n">
        <v>100</v>
      </c>
      <c r="G34" t="n">
        <v>0</v>
      </c>
      <c r="H34" t="n">
        <v>60</v>
      </c>
      <c r="I34" t="inlineStr">
        <is>
          <t>Referencia de trabajo: ≈60 ml/m² (1 L ≈ 16 m²); ajustar si el manual la especifica</t>
        </is>
      </c>
    </row>
    <row r="35">
      <c r="A35" t="inlineStr">
        <is>
          <t>EPOXY TINTA</t>
        </is>
      </c>
      <c r="B35" t="inlineStr"/>
      <c r="C35" t="n">
        <v>250</v>
      </c>
      <c r="D35" t="n">
        <v>190</v>
      </c>
      <c r="E35" t="inlineStr"/>
      <c r="F35" t="n">
        <v>100</v>
      </c>
      <c r="G35" t="n">
        <v>0</v>
      </c>
      <c r="H35" t="n">
        <v>60</v>
      </c>
      <c r="I35" t="inlineStr">
        <is>
          <t>Referencia de trabajo: ≈60 ml/m² (1 L ≈ 16 m²); ajustar si el manual la especifica</t>
        </is>
      </c>
    </row>
    <row r="36">
      <c r="A36" t="inlineStr">
        <is>
          <t>EPOXY TINTA</t>
        </is>
      </c>
      <c r="B36" t="inlineStr"/>
      <c r="C36" t="n">
        <v>500</v>
      </c>
      <c r="D36" t="n">
        <v>320</v>
      </c>
      <c r="E36" t="inlineStr"/>
      <c r="F36" t="n">
        <v>100</v>
      </c>
      <c r="G36" t="n">
        <v>0</v>
      </c>
      <c r="H36" t="n">
        <v>60</v>
      </c>
      <c r="I36" t="inlineStr">
        <is>
          <t>Referencia de trabajo: ≈60 ml/m² (1 L ≈ 16 m²); ajustar si el manual la especifica</t>
        </is>
      </c>
    </row>
    <row r="37">
      <c r="A37" t="inlineStr">
        <is>
          <t>EPOXY TINTA</t>
        </is>
      </c>
      <c r="B37" t="inlineStr"/>
      <c r="C37" t="n">
        <v>1</v>
      </c>
      <c r="D37" t="n">
        <v>550</v>
      </c>
      <c r="E37" t="inlineStr"/>
      <c r="F37" t="n">
        <v>100</v>
      </c>
      <c r="G37" t="n">
        <v>0</v>
      </c>
      <c r="H37" t="n">
        <v>60</v>
      </c>
      <c r="I37" t="inlineStr">
        <is>
          <t>Referencia de trabajo: ≈60 ml/m² (1 L ≈ 16 m²); ajustar si el manual la especifica</t>
        </is>
      </c>
    </row>
    <row r="38">
      <c r="A38" t="inlineStr">
        <is>
          <t>PIGMENTOS FOTOLUMINISCENTES</t>
        </is>
      </c>
      <c r="B38" t="inlineStr"/>
      <c r="C38" t="n">
        <v>20</v>
      </c>
      <c r="D38" t="n">
        <v>275</v>
      </c>
      <c r="E38" t="inlineStr"/>
      <c r="F38" t="n">
        <v>100</v>
      </c>
      <c r="G38" t="n">
        <v>0</v>
      </c>
      <c r="H38" t="n">
        <v>10</v>
      </c>
      <c r="I38" t="inlineStr">
        <is>
          <t>Criterio NEMET para pigmentos en polvo (ajustable)</t>
        </is>
      </c>
    </row>
    <row r="39">
      <c r="A39" t="inlineStr">
        <is>
          <t>PIGMENTOS FOTOLUMINISCENTES</t>
        </is>
      </c>
      <c r="B39" t="inlineStr"/>
      <c r="C39" t="n">
        <v>50</v>
      </c>
      <c r="D39" t="n">
        <v>630</v>
      </c>
      <c r="E39" t="inlineStr"/>
      <c r="F39" t="n">
        <v>100</v>
      </c>
      <c r="G39" t="n">
        <v>0</v>
      </c>
      <c r="H39" t="n">
        <v>10</v>
      </c>
      <c r="I39" t="inlineStr">
        <is>
          <t>Criterio NEMET para pigmentos en polvo (ajustable)</t>
        </is>
      </c>
    </row>
    <row r="40">
      <c r="A40" t="inlineStr">
        <is>
          <t>PIGMENTOS FOTOLUMINISCENTES</t>
        </is>
      </c>
      <c r="B40" t="inlineStr"/>
      <c r="C40" t="n">
        <v>100</v>
      </c>
      <c r="D40" t="n">
        <v>1100</v>
      </c>
      <c r="E40" t="inlineStr"/>
      <c r="F40" t="n">
        <v>100</v>
      </c>
      <c r="G40" t="n">
        <v>0</v>
      </c>
      <c r="H40" t="n">
        <v>10</v>
      </c>
      <c r="I40" t="inlineStr">
        <is>
          <t>Criterio NEMET para pigmentos en polvo (ajustable)</t>
        </is>
      </c>
    </row>
    <row r="41">
      <c r="A41" t="inlineStr">
        <is>
          <t>EPOXY METAL PERLADO Y METÁLICOS EN POLVO</t>
        </is>
      </c>
      <c r="B41" t="inlineStr"/>
      <c r="C41" t="n">
        <v>10</v>
      </c>
      <c r="D41" t="n">
        <v>106</v>
      </c>
      <c r="E41" t="inlineStr"/>
      <c r="F41" t="n">
        <v>100</v>
      </c>
      <c r="G41" t="n">
        <v>0</v>
      </c>
      <c r="H41" t="n">
        <v>8</v>
      </c>
      <c r="I41" t="inlineStr">
        <is>
          <t>Manual NEMET: 8 g/m²</t>
        </is>
      </c>
    </row>
    <row r="42">
      <c r="A42" t="inlineStr">
        <is>
          <t>EPOXY METAL PERLADO Y METÁLICOS EN POLVO</t>
        </is>
      </c>
      <c r="B42" t="inlineStr"/>
      <c r="C42" t="n">
        <v>30</v>
      </c>
      <c r="D42" t="n">
        <v>312</v>
      </c>
      <c r="E42" t="inlineStr"/>
      <c r="F42" t="n">
        <v>100</v>
      </c>
      <c r="G42" t="n">
        <v>0</v>
      </c>
      <c r="H42" t="n">
        <v>8</v>
      </c>
      <c r="I42" t="inlineStr">
        <is>
          <t>Manual NEMET: 8 g/m²</t>
        </is>
      </c>
    </row>
    <row r="43">
      <c r="A43" t="inlineStr">
        <is>
          <t>EPOXY METAL PERLADO Y METÁLICOS EN POLVO</t>
        </is>
      </c>
      <c r="B43" t="inlineStr"/>
      <c r="C43" t="n">
        <v>50</v>
      </c>
      <c r="D43" t="n">
        <v>466</v>
      </c>
      <c r="E43" t="inlineStr"/>
      <c r="F43" t="n">
        <v>100</v>
      </c>
      <c r="G43" t="n">
        <v>0</v>
      </c>
      <c r="H43" t="n">
        <v>8</v>
      </c>
      <c r="I43" t="inlineStr">
        <is>
          <t>Manual NEMET: 8 g/m²</t>
        </is>
      </c>
    </row>
    <row r="44">
      <c r="A44" t="inlineStr">
        <is>
          <t>EPOXY METAL PERLADO Y METÁLICOS EN POLVO</t>
        </is>
      </c>
      <c r="B44" t="inlineStr"/>
      <c r="C44" t="n">
        <v>100</v>
      </c>
      <c r="D44" t="n">
        <v>844</v>
      </c>
      <c r="E44" t="inlineStr"/>
      <c r="F44" t="n">
        <v>100</v>
      </c>
      <c r="G44" t="n">
        <v>0</v>
      </c>
      <c r="H44" t="n">
        <v>8</v>
      </c>
      <c r="I44" t="inlineStr">
        <is>
          <t>Manual NEMET: 8 g/m²</t>
        </is>
      </c>
    </row>
    <row r="45">
      <c r="A45" t="inlineStr">
        <is>
          <t>EPOXY METAL PERLADO Y METÁLICOS EN POLVO</t>
        </is>
      </c>
      <c r="B45" t="inlineStr"/>
      <c r="C45" t="n">
        <v>200</v>
      </c>
      <c r="D45" t="n">
        <v>1504</v>
      </c>
      <c r="E45" t="inlineStr"/>
      <c r="F45" t="n">
        <v>100</v>
      </c>
      <c r="G45" t="n">
        <v>0</v>
      </c>
      <c r="H45" t="n">
        <v>8</v>
      </c>
      <c r="I45" t="inlineStr">
        <is>
          <t>Manual NEMET: 8 g/m²</t>
        </is>
      </c>
    </row>
    <row r="46">
      <c r="A46" t="inlineStr">
        <is>
          <t>EPOXY VEINS</t>
        </is>
      </c>
      <c r="B46" t="inlineStr"/>
      <c r="C46" t="n">
        <v>0.4</v>
      </c>
      <c r="D46" t="n">
        <v>500</v>
      </c>
      <c r="E46" t="inlineStr"/>
      <c r="F46" t="n">
        <v>100</v>
      </c>
      <c r="G46" t="n">
        <v>0</v>
      </c>
      <c r="H46" t="n">
        <v>20</v>
      </c>
      <c r="I46" t="inlineStr">
        <is>
          <t>Criterio NEMET: vetas ≈20 g/m² (ajustable)</t>
        </is>
      </c>
    </row>
    <row r="47">
      <c r="A47" t="inlineStr">
        <is>
          <t>EPOXY-HOJUELA (1 color)</t>
        </is>
      </c>
      <c r="B47" t="inlineStr"/>
      <c r="C47" t="n">
        <v>1</v>
      </c>
      <c r="D47" t="n">
        <v>205</v>
      </c>
      <c r="E47" t="inlineStr"/>
      <c r="F47" t="n">
        <v>100</v>
      </c>
      <c r="G47" t="n">
        <v>0</v>
      </c>
      <c r="H47" t="n">
        <v>150</v>
      </c>
      <c r="I47" t="inlineStr">
        <is>
          <t>Criterio NEMET: hojuela al voleo ≈150 g/m² (ajustable)</t>
        </is>
      </c>
    </row>
    <row r="48">
      <c r="A48" t="inlineStr">
        <is>
          <t>EPOXY-HOJUELA (combinación)</t>
        </is>
      </c>
      <c r="B48" t="inlineStr"/>
      <c r="C48" t="n">
        <v>1</v>
      </c>
      <c r="D48" t="n">
        <v>235</v>
      </c>
      <c r="E48" t="inlineStr"/>
      <c r="F48" t="n">
        <v>100</v>
      </c>
      <c r="G48" t="n">
        <v>0</v>
      </c>
      <c r="H48" t="n">
        <v>150</v>
      </c>
      <c r="I48" t="inlineStr">
        <is>
          <t>Criterio NEMET: hojuela al voleo ≈150 g/m² (ajustable)</t>
        </is>
      </c>
    </row>
    <row r="49">
      <c r="A49" t="inlineStr">
        <is>
          <t>EPOXY-GRANO</t>
        </is>
      </c>
      <c r="B49" t="inlineStr"/>
      <c r="C49" t="n">
        <v>1</v>
      </c>
      <c r="D49" t="n">
        <v>65</v>
      </c>
      <c r="E49" t="inlineStr"/>
      <c r="F49" t="n">
        <v>100</v>
      </c>
      <c r="G49" t="n">
        <v>0</v>
      </c>
      <c r="H49" t="n">
        <v>2500</v>
      </c>
      <c r="I49" t="inlineStr">
        <is>
          <t>Criterio NEMET: grano al voleo ≈2.5 kg/m² (ajustable)</t>
        </is>
      </c>
    </row>
    <row r="50">
      <c r="A50" t="inlineStr">
        <is>
          <t>EPOXY-GRANO (combinación)</t>
        </is>
      </c>
      <c r="B50" t="inlineStr"/>
      <c r="C50" t="n">
        <v>1</v>
      </c>
      <c r="D50" t="n">
        <v>90</v>
      </c>
      <c r="E50" t="inlineStr"/>
      <c r="F50" t="n">
        <v>100</v>
      </c>
      <c r="G50" t="n">
        <v>0</v>
      </c>
      <c r="H50" t="n">
        <v>2500</v>
      </c>
      <c r="I50" t="inlineStr">
        <is>
          <t>Criterio NEMET: grano al voleo ≈2.5 kg/m² (ajustable)</t>
        </is>
      </c>
    </row>
    <row r="51">
      <c r="A51" t="inlineStr">
        <is>
          <t>EPOXY-MICA</t>
        </is>
      </c>
      <c r="B51" t="inlineStr"/>
      <c r="C51" t="n">
        <v>1</v>
      </c>
      <c r="D51" t="n">
        <v>470.0000000000001</v>
      </c>
      <c r="E51" t="inlineStr"/>
      <c r="F51" t="n">
        <v>100</v>
      </c>
      <c r="G51" t="n">
        <v>0</v>
      </c>
      <c r="H51" t="n">
        <v>8</v>
      </c>
      <c r="I51" t="inlineStr">
        <is>
          <t>Manual NEMET: 8 g/m²</t>
        </is>
      </c>
    </row>
    <row r="52">
      <c r="A52" t="inlineStr">
        <is>
          <t>EPOXY-MICA (combinado)</t>
        </is>
      </c>
      <c r="B52" t="inlineStr"/>
      <c r="C52" t="n">
        <v>1</v>
      </c>
      <c r="D52" t="n">
        <v>495</v>
      </c>
      <c r="E52" t="inlineStr"/>
      <c r="F52" t="n">
        <v>100</v>
      </c>
      <c r="G52" t="n">
        <v>0</v>
      </c>
      <c r="H52" t="n">
        <v>8</v>
      </c>
      <c r="I52" t="inlineStr">
        <is>
          <t>Manual NEMET: 8 g/m²</t>
        </is>
      </c>
    </row>
    <row r="53">
      <c r="A53" t="inlineStr">
        <is>
          <t>EPO-PAINT (A y B)</t>
        </is>
      </c>
      <c r="B53" t="inlineStr"/>
      <c r="C53" t="n">
        <v>0</v>
      </c>
      <c r="D53" t="n">
        <v>0</v>
      </c>
      <c r="E53" t="n">
        <v>0.2</v>
      </c>
      <c r="F53" t="n">
        <v>100</v>
      </c>
      <c r="G53" t="n">
        <v>50</v>
      </c>
      <c r="H53" t="inlineStr"/>
      <c r="I53" t="inlineStr">
        <is>
          <t>Criterio NEMET: ≈0.2 kg/m² por capa</t>
        </is>
      </c>
    </row>
    <row r="54">
      <c r="A54" t="inlineStr">
        <is>
          <t>ARENA SILICA</t>
        </is>
      </c>
      <c r="B54" t="inlineStr"/>
      <c r="C54" t="n">
        <v>0</v>
      </c>
      <c r="D54" t="n">
        <v>0</v>
      </c>
      <c r="E54" t="inlineStr"/>
      <c r="F54" t="n">
        <v>100</v>
      </c>
      <c r="G54" t="n">
        <v>0</v>
      </c>
      <c r="H54" t="n">
        <v>2000</v>
      </c>
      <c r="I54" t="inlineStr">
        <is>
          <t>Criterio NEMET: arena sílica como carga ≈2 kg/m² (ajustable)</t>
        </is>
      </c>
    </row>
    <row r="55">
      <c r="A55" t="inlineStr">
        <is>
          <t>CÁSCARA DE NARANJA</t>
        </is>
      </c>
      <c r="B55" t="inlineStr"/>
      <c r="C55" t="n">
        <v>1</v>
      </c>
      <c r="D55" t="n">
        <v>580</v>
      </c>
      <c r="E55" t="inlineStr"/>
      <c r="F55" t="n">
        <v>100</v>
      </c>
      <c r="G55" t="n">
        <v>0</v>
      </c>
      <c r="H55" t="n">
        <v>100</v>
      </c>
      <c r="I55" t="inlineStr">
        <is>
          <t>Criterio NEMET: texturizante al voleo ≈100 g/m² (ajustable)</t>
        </is>
      </c>
    </row>
    <row r="56">
      <c r="A56" t="inlineStr">
        <is>
          <t>ESTUCO VENECIANO</t>
        </is>
      </c>
      <c r="B56" t="inlineStr"/>
      <c r="C56" t="n">
        <v>1</v>
      </c>
      <c r="D56" t="n">
        <v>480</v>
      </c>
      <c r="E56" t="n">
        <v>1</v>
      </c>
      <c r="F56" t="n">
        <v>100</v>
      </c>
      <c r="G56" t="n">
        <v>0</v>
      </c>
      <c r="H56" t="inlineStr"/>
      <c r="I56" t="inlineStr">
        <is>
          <t>Criterio NEMET: ≈1 L/m² por capa de 1 mm</t>
        </is>
      </c>
    </row>
    <row r="57">
      <c r="A57" t="inlineStr">
        <is>
          <t>GRANO WALL</t>
        </is>
      </c>
      <c r="B57" t="inlineStr"/>
      <c r="C57" t="n">
        <v>4</v>
      </c>
      <c r="D57" t="n">
        <v>1100</v>
      </c>
      <c r="E57" t="n">
        <v>1.5</v>
      </c>
      <c r="F57" t="n">
        <v>100</v>
      </c>
      <c r="G57" t="n">
        <v>0</v>
      </c>
      <c r="H57" t="inlineStr"/>
      <c r="I57" t="inlineStr">
        <is>
          <t>Criterio NEMET: ≈1.5 L/m² por capa</t>
        </is>
      </c>
    </row>
    <row r="58">
      <c r="A58" t="inlineStr">
        <is>
          <t>EPOXY CUARZO</t>
        </is>
      </c>
      <c r="B58" t="inlineStr"/>
      <c r="C58" t="n">
        <v>1</v>
      </c>
      <c r="D58" t="n">
        <v>35</v>
      </c>
      <c r="E58" t="inlineStr"/>
      <c r="F58" t="n">
        <v>100</v>
      </c>
      <c r="G58" t="n">
        <v>0</v>
      </c>
      <c r="H58" t="n">
        <v>2500</v>
      </c>
      <c r="I58" t="inlineStr">
        <is>
          <t>Criterio NEMET: cuarzo al voleo ≈2.5 kg/m² (ajustable)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Empresa</t>
        </is>
      </c>
      <c r="C1" t="inlineStr">
        <is>
          <t>Correo</t>
        </is>
      </c>
      <c r="D1" t="inlineStr">
        <is>
          <t>Teléfono</t>
        </is>
      </c>
      <c r="E1" t="inlineStr">
        <is>
          <t>Dirección</t>
        </is>
      </c>
    </row>
    <row r="2">
      <c r="A2" t="inlineStr">
        <is>
          <t>Luis Manuel Merelles Lourido</t>
        </is>
      </c>
      <c r="B2" t="inlineStr">
        <is>
          <t>Nemet</t>
        </is>
      </c>
      <c r="C2" t="inlineStr">
        <is>
          <t>luismerelles@gmail.com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Fecha</t>
        </is>
      </c>
      <c r="C1" t="inlineStr">
        <is>
          <t>Cliente</t>
        </is>
      </c>
      <c r="D1" t="inlineStr">
        <is>
          <t>Detalle_Productos</t>
        </is>
      </c>
      <c r="E1" t="inlineStr">
        <is>
          <t>Total</t>
        </is>
      </c>
    </row>
    <row r="2">
      <c r="A2" t="inlineStr">
        <is>
          <t>COT-2026-001</t>
        </is>
      </c>
      <c r="B2" t="inlineStr">
        <is>
          <t>2026-09-28 14:10:48</t>
        </is>
      </c>
      <c r="C2" t="inlineStr">
        <is>
          <t>Luis Manuel Merelles Lourido</t>
        </is>
      </c>
      <c r="D2" t="inlineStr">
        <is>
          <t>2x EPO-DEEP TRANSPARENTE (7.100 kg) [12.00 m² x 1 mm]</t>
        </is>
      </c>
      <c r="E2" t="n">
        <v>7110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Producto_Proveedor</t>
        </is>
      </c>
      <c r="B1" t="inlineStr">
        <is>
          <t>Producto_NEMET</t>
        </is>
      </c>
      <c r="C1" t="inlineStr">
        <is>
          <t>Rango_Desde_Kg</t>
        </is>
      </c>
      <c r="D1" t="inlineStr">
        <is>
          <t>Rango_Hasta_Kg</t>
        </is>
      </c>
      <c r="E1" t="inlineStr">
        <is>
          <t>Costo_Compra_IVA_por_Kg</t>
        </is>
      </c>
      <c r="F1" t="inlineStr">
        <is>
          <t>Precio_Publico_por_Kg</t>
        </is>
      </c>
      <c r="G1" t="inlineStr">
        <is>
          <t>Margen_por_Kg</t>
        </is>
      </c>
      <c r="H1" t="inlineStr">
        <is>
          <t>Margen_Porcentaje_Sobre_Venta</t>
        </is>
      </c>
      <c r="I1" t="inlineStr">
        <is>
          <t>Margen_Markup_Sobre_Costo</t>
        </is>
      </c>
      <c r="J1" t="inlineStr">
        <is>
          <t>Rango_Texto_Original</t>
        </is>
      </c>
    </row>
    <row r="2">
      <c r="A2" t="inlineStr">
        <is>
          <t>EPOXY PISOS</t>
        </is>
      </c>
      <c r="B2" t="inlineStr">
        <is>
          <t>EPOXY PISOS (A Y B) TRANSPARENTE</t>
        </is>
      </c>
      <c r="C2" t="n">
        <v>0</v>
      </c>
      <c r="D2" t="n">
        <v>5.999</v>
      </c>
      <c r="E2" t="n">
        <v>361.42</v>
      </c>
      <c r="F2" t="n">
        <v>480</v>
      </c>
      <c r="G2" t="n">
        <v>118.58</v>
      </c>
      <c r="H2" t="n">
        <v>24.70416666666666</v>
      </c>
      <c r="I2" t="n">
        <v>32.80947374246029</v>
      </c>
      <c r="J2" t="inlineStr">
        <is>
          <t>0 - 5.999 kg</t>
        </is>
      </c>
    </row>
    <row r="3">
      <c r="A3" t="inlineStr">
        <is>
          <t>EPOXY PISOS</t>
        </is>
      </c>
      <c r="B3" t="inlineStr">
        <is>
          <t>EPOXY PISOS (A Y B) TRANSPARENTE</t>
        </is>
      </c>
      <c r="C3" t="n">
        <v>6</v>
      </c>
      <c r="D3" t="n">
        <v>9.999000000000001</v>
      </c>
      <c r="E3" t="n">
        <v>346.02</v>
      </c>
      <c r="F3" t="n">
        <v>460</v>
      </c>
      <c r="G3" t="n">
        <v>113.98</v>
      </c>
      <c r="H3" t="n">
        <v>24.77826086956522</v>
      </c>
      <c r="I3" t="n">
        <v>32.94029246864344</v>
      </c>
      <c r="J3" t="inlineStr">
        <is>
          <t>6 - 9.999 kg</t>
        </is>
      </c>
    </row>
    <row r="4">
      <c r="A4" t="inlineStr">
        <is>
          <t>EPOXY PISOS</t>
        </is>
      </c>
      <c r="B4" t="inlineStr">
        <is>
          <t>EPOXY PISOS (A Y B) TRANSPARENTE</t>
        </is>
      </c>
      <c r="C4" t="n">
        <v>10</v>
      </c>
      <c r="D4" t="n">
        <v>14.999</v>
      </c>
      <c r="E4" t="n">
        <v>332.95</v>
      </c>
      <c r="F4" t="n">
        <v>440</v>
      </c>
      <c r="G4" t="n">
        <v>107.05</v>
      </c>
      <c r="H4" t="n">
        <v>24.32954545454546</v>
      </c>
      <c r="I4" t="n">
        <v>32.15197477098664</v>
      </c>
      <c r="J4" t="inlineStr">
        <is>
          <t>10 - 14.999 kg</t>
        </is>
      </c>
    </row>
    <row r="5">
      <c r="A5" t="inlineStr">
        <is>
          <t>EPOXY PISOS</t>
        </is>
      </c>
      <c r="B5" t="inlineStr">
        <is>
          <t>EPOXY PISOS (A Y B) TRANSPARENTE</t>
        </is>
      </c>
      <c r="C5" t="n">
        <v>15</v>
      </c>
      <c r="D5" t="n">
        <v>19.999</v>
      </c>
      <c r="E5" t="n">
        <v>316.8</v>
      </c>
      <c r="F5" t="n">
        <v>420</v>
      </c>
      <c r="G5" t="n">
        <v>103.2</v>
      </c>
      <c r="H5" t="n">
        <v>24.57142857142857</v>
      </c>
      <c r="I5" t="n">
        <v>32.57575757575757</v>
      </c>
      <c r="J5" t="inlineStr">
        <is>
          <t>15 - 19.999 kg</t>
        </is>
      </c>
    </row>
    <row r="6">
      <c r="A6" t="inlineStr">
        <is>
          <t>EPOXY PISOS</t>
        </is>
      </c>
      <c r="B6" t="inlineStr">
        <is>
          <t>EPOXY PISOS (A Y B) TRANSPARENTE</t>
        </is>
      </c>
      <c r="C6" t="n">
        <v>20</v>
      </c>
      <c r="D6" t="inlineStr"/>
      <c r="E6" t="n">
        <v>301.45</v>
      </c>
      <c r="F6" t="n">
        <v>400</v>
      </c>
      <c r="G6" t="n">
        <v>98.55000000000001</v>
      </c>
      <c r="H6" t="n">
        <v>24.6375</v>
      </c>
      <c r="I6" t="n">
        <v>32.69198872118096</v>
      </c>
      <c r="J6" t="inlineStr">
        <is>
          <t>+ 20 kg</t>
        </is>
      </c>
    </row>
    <row r="7">
      <c r="A7" t="inlineStr">
        <is>
          <t>EPOXY PRIMER</t>
        </is>
      </c>
      <c r="B7" t="inlineStr">
        <is>
          <t>EPOXY PRIMER (A Y B) TRANSPARENTE</t>
        </is>
      </c>
      <c r="C7" t="n">
        <v>0</v>
      </c>
      <c r="D7" t="n">
        <v>9.999000000000001</v>
      </c>
      <c r="E7" t="n">
        <v>397.99</v>
      </c>
      <c r="F7" t="n">
        <v>400</v>
      </c>
      <c r="G7" t="n">
        <v>2.009999999999991</v>
      </c>
      <c r="H7" t="n">
        <v>0.5024999999999977</v>
      </c>
      <c r="I7" t="n">
        <v>0.5050378150204756</v>
      </c>
      <c r="J7" t="inlineStr">
        <is>
          <t>0 - 9.999 kg</t>
        </is>
      </c>
    </row>
    <row r="8">
      <c r="A8" t="inlineStr">
        <is>
          <t>EPOXY PRIMER</t>
        </is>
      </c>
      <c r="B8" t="inlineStr">
        <is>
          <t>EPOXY PRIMER (A Y B) TRANSPARENTE</t>
        </is>
      </c>
      <c r="C8" t="n">
        <v>10</v>
      </c>
      <c r="D8" t="n">
        <v>19.999</v>
      </c>
      <c r="E8" t="n">
        <v>292.7</v>
      </c>
      <c r="F8" t="n">
        <v>380</v>
      </c>
      <c r="G8" t="n">
        <v>87.30000000000001</v>
      </c>
      <c r="H8" t="n">
        <v>22.97368421052632</v>
      </c>
      <c r="I8" t="n">
        <v>29.82576016399044</v>
      </c>
      <c r="J8" t="inlineStr">
        <is>
          <t>10 - 19.999 kg</t>
        </is>
      </c>
    </row>
    <row r="9">
      <c r="A9" t="inlineStr">
        <is>
          <t>EPOXY PRIMER</t>
        </is>
      </c>
      <c r="B9" t="inlineStr">
        <is>
          <t>EPOXY PRIMER (A Y B) TRANSPARENTE</t>
        </is>
      </c>
      <c r="C9" t="n">
        <v>20</v>
      </c>
      <c r="D9" t="inlineStr"/>
      <c r="E9" t="n">
        <v>276.35</v>
      </c>
      <c r="F9" t="n">
        <v>370</v>
      </c>
      <c r="G9" t="n">
        <v>93.64999999999998</v>
      </c>
      <c r="H9" t="n">
        <v>25.3108108108108</v>
      </c>
      <c r="I9" t="n">
        <v>33.88818527229961</v>
      </c>
      <c r="J9" t="inlineStr">
        <is>
          <t>+ 20 kg</t>
        </is>
      </c>
    </row>
    <row r="10">
      <c r="A10" t="inlineStr">
        <is>
          <t>CÁSCARA DE NARANJA</t>
        </is>
      </c>
      <c r="B10" t="inlineStr">
        <is>
          <t>CÁSCARA DE NARANJA</t>
        </is>
      </c>
      <c r="C10" t="n">
        <v>0</v>
      </c>
      <c r="D10" t="n">
        <v>3.999</v>
      </c>
      <c r="E10" t="n">
        <v>444.45</v>
      </c>
      <c r="F10" t="n">
        <v>580</v>
      </c>
      <c r="G10" t="n">
        <v>135.55</v>
      </c>
      <c r="H10" t="n">
        <v>23.37068965517242</v>
      </c>
      <c r="I10" t="n">
        <v>30.49836877039037</v>
      </c>
      <c r="J10" t="inlineStr">
        <is>
          <t>0 - 3.999 kg</t>
        </is>
      </c>
    </row>
    <row r="11">
      <c r="A11" t="inlineStr">
        <is>
          <t>CÁSCARA DE NARANJA</t>
        </is>
      </c>
      <c r="B11" t="inlineStr">
        <is>
          <t>CÁSCARA DE NARANJA</t>
        </is>
      </c>
      <c r="C11" t="n">
        <v>4</v>
      </c>
      <c r="D11" t="n">
        <v>7.999</v>
      </c>
      <c r="E11" t="n">
        <v>433.74</v>
      </c>
      <c r="F11" t="n">
        <v>560</v>
      </c>
      <c r="G11" t="n">
        <v>126.26</v>
      </c>
      <c r="H11" t="n">
        <v>22.54642857142857</v>
      </c>
      <c r="I11" t="n">
        <v>29.10960483238807</v>
      </c>
      <c r="J11" t="inlineStr">
        <is>
          <t>4 - 7.999 kg</t>
        </is>
      </c>
    </row>
    <row r="12">
      <c r="A12" t="inlineStr">
        <is>
          <t>CÁSCARA DE NARANJA</t>
        </is>
      </c>
      <c r="B12" t="inlineStr">
        <is>
          <t>CÁSCARA DE NARANJA</t>
        </is>
      </c>
      <c r="C12" t="n">
        <v>8</v>
      </c>
      <c r="D12" t="n">
        <v>19.999</v>
      </c>
      <c r="E12" t="n">
        <v>423.54</v>
      </c>
      <c r="F12" t="n">
        <v>540</v>
      </c>
      <c r="G12" t="n">
        <v>116.46</v>
      </c>
      <c r="H12" t="n">
        <v>21.56666666666666</v>
      </c>
      <c r="I12" t="n">
        <v>27.4968125796855</v>
      </c>
      <c r="J12" t="inlineStr">
        <is>
          <t>8 - 19.999 kg</t>
        </is>
      </c>
    </row>
    <row r="13">
      <c r="A13" t="inlineStr">
        <is>
          <t>CÁSCARA DE NARANJA</t>
        </is>
      </c>
      <c r="B13" t="inlineStr">
        <is>
          <t>CÁSCARA DE NARANJA</t>
        </is>
      </c>
      <c r="C13" t="n">
        <v>20</v>
      </c>
      <c r="D13" t="inlineStr"/>
      <c r="E13" t="n">
        <v>413.8</v>
      </c>
      <c r="F13" t="n">
        <v>520</v>
      </c>
      <c r="G13" t="n">
        <v>106.2</v>
      </c>
      <c r="H13" t="n">
        <v>20.42307692307692</v>
      </c>
      <c r="I13" t="n">
        <v>25.66457225712904</v>
      </c>
      <c r="J13" t="inlineStr">
        <is>
          <t>+ 20 kg</t>
        </is>
      </c>
    </row>
    <row r="14">
      <c r="A14" t="inlineStr">
        <is>
          <t>EPO-DEEP</t>
        </is>
      </c>
      <c r="B14" t="inlineStr">
        <is>
          <t>EPO-DEEP TRANSPARENTE</t>
        </is>
      </c>
      <c r="C14" t="n">
        <v>0</v>
      </c>
      <c r="D14" t="n">
        <v>4.299</v>
      </c>
      <c r="E14" t="n">
        <v>461.88</v>
      </c>
      <c r="F14" t="n">
        <v>560</v>
      </c>
      <c r="G14" t="n">
        <v>98.12</v>
      </c>
      <c r="H14" t="n">
        <v>17.52142857142857</v>
      </c>
      <c r="I14" t="n">
        <v>21.24361305966918</v>
      </c>
      <c r="J14" t="inlineStr">
        <is>
          <t>0 - 4.299 kg</t>
        </is>
      </c>
    </row>
    <row r="15">
      <c r="A15" t="inlineStr">
        <is>
          <t>EPO-DEEP</t>
        </is>
      </c>
      <c r="B15" t="inlineStr">
        <is>
          <t>EPO-DEEP TRANSPARENTE</t>
        </is>
      </c>
      <c r="C15" t="n">
        <v>4.3</v>
      </c>
      <c r="D15" t="n">
        <v>7.099</v>
      </c>
      <c r="E15" t="n">
        <v>437.44</v>
      </c>
      <c r="F15" t="n">
        <v>540</v>
      </c>
      <c r="G15" t="n">
        <v>102.56</v>
      </c>
      <c r="H15" t="n">
        <v>18.99259259259259</v>
      </c>
      <c r="I15" t="n">
        <v>23.44550109729335</v>
      </c>
      <c r="J15" t="inlineStr">
        <is>
          <t>4.3 - 7.099 kg</t>
        </is>
      </c>
    </row>
    <row r="16">
      <c r="A16" t="inlineStr">
        <is>
          <t>EPO-DEEP</t>
        </is>
      </c>
      <c r="B16" t="inlineStr">
        <is>
          <t>EPO-DEEP TRANSPARENTE</t>
        </is>
      </c>
      <c r="C16" t="n">
        <v>7.1</v>
      </c>
      <c r="D16" t="n">
        <v>16.999</v>
      </c>
      <c r="E16" t="n">
        <v>424.71</v>
      </c>
      <c r="F16" t="n">
        <v>520</v>
      </c>
      <c r="G16" t="n">
        <v>95.29000000000002</v>
      </c>
      <c r="H16" t="n">
        <v>18.32500000000001</v>
      </c>
      <c r="I16" t="n">
        <v>22.43648607284971</v>
      </c>
      <c r="J16" t="inlineStr">
        <is>
          <t>7.1 - 16.999 kg</t>
        </is>
      </c>
    </row>
    <row r="17">
      <c r="A17" t="inlineStr">
        <is>
          <t>EPO-DEEP</t>
        </is>
      </c>
      <c r="B17" t="inlineStr">
        <is>
          <t>EPO-DEEP TRANSPARENTE</t>
        </is>
      </c>
      <c r="C17" t="n">
        <v>17</v>
      </c>
      <c r="D17" t="inlineStr"/>
      <c r="E17" t="n">
        <v>389.43</v>
      </c>
      <c r="F17" t="n">
        <v>500</v>
      </c>
      <c r="G17" t="n">
        <v>110.57</v>
      </c>
      <c r="H17" t="n">
        <v>22.114</v>
      </c>
      <c r="I17" t="n">
        <v>28.39277919009835</v>
      </c>
      <c r="J17" t="inlineStr">
        <is>
          <t>+ 17 kg</t>
        </is>
      </c>
    </row>
    <row r="18">
      <c r="A18" t="inlineStr">
        <is>
          <t>EPO-DEEP ULTRA</t>
        </is>
      </c>
      <c r="B18" t="inlineStr">
        <is>
          <t>EPO-DEEP ULTRA (A Y B) TRANSPARENTE</t>
        </is>
      </c>
      <c r="C18" t="n">
        <v>0</v>
      </c>
      <c r="D18" t="n">
        <v>6.699</v>
      </c>
      <c r="E18" t="n">
        <v>392.24</v>
      </c>
      <c r="F18" t="n">
        <v>480</v>
      </c>
      <c r="G18" t="n">
        <v>87.75999999999999</v>
      </c>
      <c r="H18" t="n">
        <v>18.28333333333333</v>
      </c>
      <c r="I18" t="n">
        <v>22.3740566999796</v>
      </c>
      <c r="J18" t="inlineStr">
        <is>
          <t>0 - 6.699 kg</t>
        </is>
      </c>
    </row>
    <row r="19">
      <c r="A19" t="inlineStr">
        <is>
          <t>EPO-DEEP ULTRA</t>
        </is>
      </c>
      <c r="B19" t="inlineStr">
        <is>
          <t>EPO-DEEP ULTRA (A Y B) TRANSPARENTE</t>
        </is>
      </c>
      <c r="C19" t="n">
        <v>6.7</v>
      </c>
      <c r="D19" t="n">
        <v>13.299</v>
      </c>
      <c r="E19" t="n">
        <v>373.55</v>
      </c>
      <c r="F19" t="n">
        <v>460</v>
      </c>
      <c r="G19" t="n">
        <v>86.44999999999999</v>
      </c>
      <c r="H19" t="n">
        <v>18.79347826086956</v>
      </c>
      <c r="I19" t="n">
        <v>23.14281889974568</v>
      </c>
      <c r="J19" t="inlineStr">
        <is>
          <t>6.7 - 13.299 kg</t>
        </is>
      </c>
    </row>
    <row r="20">
      <c r="A20" t="inlineStr">
        <is>
          <t>EPO-DEEP ULTRA</t>
        </is>
      </c>
      <c r="B20" t="inlineStr">
        <is>
          <t>EPO-DEEP ULTRA (A Y B) TRANSPARENTE</t>
        </is>
      </c>
      <c r="C20" t="n">
        <v>13.3</v>
      </c>
      <c r="D20" t="n">
        <v>23.999</v>
      </c>
      <c r="E20" t="n">
        <v>355.77</v>
      </c>
      <c r="F20" t="n">
        <v>440</v>
      </c>
      <c r="G20" t="n">
        <v>84.23000000000002</v>
      </c>
      <c r="H20" t="n">
        <v>19.14318181818182</v>
      </c>
      <c r="I20" t="n">
        <v>23.67540826938753</v>
      </c>
      <c r="J20" t="inlineStr">
        <is>
          <t>13.3 - 23.999 kg</t>
        </is>
      </c>
    </row>
    <row r="21">
      <c r="A21" t="inlineStr">
        <is>
          <t>EPO-DEEP ULTRA</t>
        </is>
      </c>
      <c r="B21" t="inlineStr">
        <is>
          <t>EPO-DEEP ULTRA (A Y B) TRANSPARENTE</t>
        </is>
      </c>
      <c r="C21" t="n">
        <v>24</v>
      </c>
      <c r="D21" t="inlineStr"/>
      <c r="E21" t="n">
        <v>325.58</v>
      </c>
      <c r="F21" t="n">
        <v>420</v>
      </c>
      <c r="G21" t="n">
        <v>94.42000000000002</v>
      </c>
      <c r="H21" t="n">
        <v>22.48095238095238</v>
      </c>
      <c r="I21" t="n">
        <v>29.00055285951226</v>
      </c>
      <c r="J21" t="inlineStr">
        <is>
          <t>+ 24 kg</t>
        </is>
      </c>
    </row>
    <row r="22">
      <c r="A22" t="inlineStr">
        <is>
          <t>EPO-FAST</t>
        </is>
      </c>
      <c r="B22" t="inlineStr">
        <is>
          <t>EPO-FAST (A Y B) TRANSPARENTE</t>
        </is>
      </c>
      <c r="C22" t="n">
        <v>0</v>
      </c>
      <c r="D22" t="n">
        <v>5.999</v>
      </c>
      <c r="E22" t="n">
        <v>392.24</v>
      </c>
      <c r="F22" t="n">
        <v>480</v>
      </c>
      <c r="G22" t="n">
        <v>87.75999999999999</v>
      </c>
      <c r="H22" t="n">
        <v>18.28333333333333</v>
      </c>
      <c r="I22" t="n">
        <v>22.3740566999796</v>
      </c>
      <c r="J22" t="inlineStr">
        <is>
          <t>0 - 5.999 kg</t>
        </is>
      </c>
    </row>
    <row r="23">
      <c r="A23" t="inlineStr">
        <is>
          <t>EPO-FAST</t>
        </is>
      </c>
      <c r="B23" t="inlineStr">
        <is>
          <t>EPO-FAST (A Y B) TRANSPARENTE</t>
        </is>
      </c>
      <c r="C23" t="n">
        <v>6</v>
      </c>
      <c r="D23" t="n">
        <v>9.999000000000001</v>
      </c>
      <c r="E23" t="n">
        <v>373.55</v>
      </c>
      <c r="F23" t="n">
        <v>460</v>
      </c>
      <c r="G23" t="n">
        <v>86.44999999999999</v>
      </c>
      <c r="H23" t="n">
        <v>18.79347826086956</v>
      </c>
      <c r="I23" t="n">
        <v>23.14281889974568</v>
      </c>
      <c r="J23" t="inlineStr">
        <is>
          <t>6 - 9.999 kg</t>
        </is>
      </c>
    </row>
    <row r="24">
      <c r="A24" t="inlineStr">
        <is>
          <t>EPO-FAST</t>
        </is>
      </c>
      <c r="B24" t="inlineStr">
        <is>
          <t>EPO-FAST (A Y B) TRANSPARENTE</t>
        </is>
      </c>
      <c r="C24" t="n">
        <v>10</v>
      </c>
      <c r="D24" t="n">
        <v>18.999</v>
      </c>
      <c r="E24" t="n">
        <v>355.77</v>
      </c>
      <c r="F24" t="n">
        <v>440</v>
      </c>
      <c r="G24" t="n">
        <v>84.23000000000002</v>
      </c>
      <c r="H24" t="n">
        <v>19.14318181818182</v>
      </c>
      <c r="I24" t="n">
        <v>23.67540826938753</v>
      </c>
      <c r="J24" t="inlineStr">
        <is>
          <t>10 - 18.999 kg</t>
        </is>
      </c>
    </row>
    <row r="25">
      <c r="A25" t="inlineStr">
        <is>
          <t>EPO-FAST</t>
        </is>
      </c>
      <c r="B25" t="inlineStr">
        <is>
          <t>EPO-FAST (A Y B) TRANSPARENTE</t>
        </is>
      </c>
      <c r="C25" t="n">
        <v>19</v>
      </c>
      <c r="D25" t="inlineStr"/>
      <c r="E25" t="n">
        <v>325.58</v>
      </c>
      <c r="F25" t="n">
        <v>420</v>
      </c>
      <c r="G25" t="n">
        <v>94.42000000000002</v>
      </c>
      <c r="H25" t="n">
        <v>22.48095238095238</v>
      </c>
      <c r="I25" t="n">
        <v>29.00055285951226</v>
      </c>
      <c r="J25" t="inlineStr">
        <is>
          <t>+ 19 kg</t>
        </is>
      </c>
    </row>
    <row r="26">
      <c r="A26" t="inlineStr">
        <is>
          <t>EPOXY-HOJUELA (1 color)</t>
        </is>
      </c>
      <c r="B26" t="inlineStr">
        <is>
          <t>EPOXY-HOJUELA (1 color)</t>
        </is>
      </c>
      <c r="C26" t="n">
        <v>0</v>
      </c>
      <c r="D26" t="n">
        <v>59.999</v>
      </c>
      <c r="E26" t="n">
        <v>182.7</v>
      </c>
      <c r="F26" t="n">
        <v>205</v>
      </c>
      <c r="G26" t="n">
        <v>22.30000000000001</v>
      </c>
      <c r="H26" t="n">
        <v>10.87804878048781</v>
      </c>
      <c r="I26" t="n">
        <v>12.20580186097428</v>
      </c>
      <c r="J26" t="inlineStr">
        <is>
          <t>0 - 59.999 kg</t>
        </is>
      </c>
    </row>
    <row r="27">
      <c r="A27" t="inlineStr">
        <is>
          <t>EPOXY-HOJUELA (1 color)</t>
        </is>
      </c>
      <c r="B27" t="inlineStr">
        <is>
          <t>EPOXY-HOJUELA (1 color)</t>
        </is>
      </c>
      <c r="C27" t="n">
        <v>60</v>
      </c>
      <c r="D27" t="inlineStr"/>
      <c r="E27" t="n">
        <v>182.7</v>
      </c>
      <c r="F27" t="n">
        <v>200</v>
      </c>
      <c r="G27" t="n">
        <v>17.30000000000001</v>
      </c>
      <c r="H27" t="n">
        <v>8.650000000000006</v>
      </c>
      <c r="I27" t="n">
        <v>9.469074986316372</v>
      </c>
      <c r="J27" t="inlineStr">
        <is>
          <t>+ 60 kg</t>
        </is>
      </c>
    </row>
    <row r="28">
      <c r="A28" t="inlineStr">
        <is>
          <t>EPOXY-HOJUELA (combinación)</t>
        </is>
      </c>
      <c r="B28" t="inlineStr">
        <is>
          <t>EPOXY-HOJUELA (combinación)</t>
        </is>
      </c>
      <c r="C28" t="n">
        <v>0</v>
      </c>
      <c r="D28" t="n">
        <v>59.999</v>
      </c>
      <c r="E28" t="n">
        <v>214.5</v>
      </c>
      <c r="F28" t="n">
        <v>235</v>
      </c>
      <c r="G28" t="n">
        <v>20.5</v>
      </c>
      <c r="H28" t="n">
        <v>8.723404255319149</v>
      </c>
      <c r="I28" t="n">
        <v>9.557109557109557</v>
      </c>
      <c r="J28" t="inlineStr">
        <is>
          <t>0 - 59.999 kg</t>
        </is>
      </c>
    </row>
    <row r="29">
      <c r="A29" t="inlineStr">
        <is>
          <t>EPOXY-HOJUELA (combinación)</t>
        </is>
      </c>
      <c r="B29" t="inlineStr">
        <is>
          <t>EPOXY-HOJUELA (combinación)</t>
        </is>
      </c>
      <c r="C29" t="n">
        <v>60</v>
      </c>
      <c r="D29" t="inlineStr"/>
      <c r="E29" t="n">
        <v>214.5</v>
      </c>
      <c r="F29" t="n">
        <v>230</v>
      </c>
      <c r="G29" t="n">
        <v>15.5</v>
      </c>
      <c r="H29" t="n">
        <v>6.739130434782608</v>
      </c>
      <c r="I29" t="n">
        <v>7.226107226107226</v>
      </c>
      <c r="J29" t="inlineStr">
        <is>
          <t>+ 60 kg</t>
        </is>
      </c>
    </row>
    <row r="30">
      <c r="A30" t="inlineStr">
        <is>
          <t>EPOXY CUARZO</t>
        </is>
      </c>
      <c r="B30" t="inlineStr">
        <is>
          <t>EPOXY CUARZO</t>
        </is>
      </c>
      <c r="C30" t="n">
        <v>0</v>
      </c>
      <c r="D30" t="n">
        <v>59.999</v>
      </c>
      <c r="E30" t="n">
        <v>29.34</v>
      </c>
      <c r="F30" t="n">
        <v>35</v>
      </c>
      <c r="G30" t="n">
        <v>5.66</v>
      </c>
      <c r="H30" t="n">
        <v>16.17142857142857</v>
      </c>
      <c r="I30" t="n">
        <v>19.29107021131561</v>
      </c>
      <c r="J30" t="inlineStr">
        <is>
          <t>0 - 59.999 kg</t>
        </is>
      </c>
    </row>
    <row r="31">
      <c r="A31" t="inlineStr">
        <is>
          <t>EPOXY CUARZO</t>
        </is>
      </c>
      <c r="B31" t="inlineStr">
        <is>
          <t>EPOXY CUARZO</t>
        </is>
      </c>
      <c r="C31" t="n">
        <v>60</v>
      </c>
      <c r="D31" t="inlineStr"/>
      <c r="E31" t="n">
        <v>29.34</v>
      </c>
      <c r="F31" t="n">
        <v>30</v>
      </c>
      <c r="G31" t="n">
        <v>0.6600000000000001</v>
      </c>
      <c r="H31" t="n">
        <v>2.200000000000001</v>
      </c>
      <c r="I31" t="n">
        <v>2.249488752556238</v>
      </c>
      <c r="J31" t="inlineStr">
        <is>
          <t>+ 60 kg</t>
        </is>
      </c>
    </row>
    <row r="32">
      <c r="A32" t="inlineStr">
        <is>
          <t>POLIURETANO</t>
        </is>
      </c>
      <c r="B32" t="inlineStr">
        <is>
          <t>POLIURETANO (A Y B) TRANSPARENTE</t>
        </is>
      </c>
      <c r="C32" t="n">
        <v>0</v>
      </c>
      <c r="D32" t="n">
        <v>4.999</v>
      </c>
      <c r="E32" t="n">
        <v>422.11</v>
      </c>
      <c r="F32" t="n">
        <v>460</v>
      </c>
      <c r="G32" t="n">
        <v>37.89</v>
      </c>
      <c r="H32" t="n">
        <v>8.236957</v>
      </c>
      <c r="I32" t="n">
        <v>8.976333</v>
      </c>
      <c r="J32" t="inlineStr">
        <is>
          <t>0 - 4.999 kg</t>
        </is>
      </c>
    </row>
    <row r="33">
      <c r="A33" t="inlineStr">
        <is>
          <t>POLIURETANO</t>
        </is>
      </c>
      <c r="B33" t="inlineStr">
        <is>
          <t>POLIURETANO (A Y B) TRANSPARENTE</t>
        </is>
      </c>
      <c r="C33" t="n">
        <v>5</v>
      </c>
      <c r="D33" t="n">
        <v>9.999000000000001</v>
      </c>
      <c r="E33" t="n">
        <v>395.02</v>
      </c>
      <c r="F33" t="n">
        <v>450</v>
      </c>
      <c r="G33" t="n">
        <v>54.98</v>
      </c>
      <c r="H33" t="n">
        <v>12.217778</v>
      </c>
      <c r="I33" t="n">
        <v>13.918283</v>
      </c>
      <c r="J33" t="inlineStr">
        <is>
          <t>5 - 9.999 kg</t>
        </is>
      </c>
    </row>
    <row r="34">
      <c r="A34" t="inlineStr">
        <is>
          <t>POLIURETANO</t>
        </is>
      </c>
      <c r="B34" t="inlineStr">
        <is>
          <t>POLIURETANO (A Y B) TRANSPARENTE</t>
        </is>
      </c>
      <c r="C34" t="n">
        <v>10</v>
      </c>
      <c r="D34" t="n">
        <v>19.999</v>
      </c>
      <c r="E34" t="n">
        <v>382.8</v>
      </c>
      <c r="F34" t="n">
        <v>440</v>
      </c>
      <c r="G34" t="n">
        <v>57.2</v>
      </c>
      <c r="H34" t="n">
        <v>13</v>
      </c>
      <c r="I34" t="n">
        <v>14.942529</v>
      </c>
      <c r="J34" t="inlineStr">
        <is>
          <t>10 - 19.999 kg</t>
        </is>
      </c>
    </row>
    <row r="35">
      <c r="A35" t="inlineStr">
        <is>
          <t>POLIURETANO</t>
        </is>
      </c>
      <c r="B35" t="inlineStr">
        <is>
          <t>POLIURETANO (A Y B) TRANSPARENTE</t>
        </is>
      </c>
      <c r="C35" t="n">
        <v>20</v>
      </c>
      <c r="D35" t="inlineStr"/>
      <c r="E35" t="n">
        <v>369.09</v>
      </c>
      <c r="F35" t="n">
        <v>430</v>
      </c>
      <c r="G35" t="n">
        <v>60.91</v>
      </c>
      <c r="H35" t="n">
        <v>14.165116</v>
      </c>
      <c r="I35" t="n">
        <v>16.50275</v>
      </c>
      <c r="J35" t="inlineStr">
        <is>
          <t>+ 20 kg</t>
        </is>
      </c>
    </row>
    <row r="36">
      <c r="A36" t="inlineStr">
        <is>
          <t>ESTUCO VENECIANO</t>
        </is>
      </c>
      <c r="B36" t="inlineStr">
        <is>
          <t>ESTUCO VENECIANO</t>
        </is>
      </c>
      <c r="C36" t="n">
        <v>1</v>
      </c>
      <c r="D36" t="n">
        <v>3.999</v>
      </c>
      <c r="E36" t="n">
        <v>400</v>
      </c>
      <c r="F36" t="n">
        <v>480</v>
      </c>
      <c r="G36" t="n">
        <v>80</v>
      </c>
      <c r="H36" t="n">
        <v>16.666667</v>
      </c>
      <c r="I36" t="n">
        <v>20</v>
      </c>
      <c r="J36" t="inlineStr">
        <is>
          <t>1 - 3.999 kg</t>
        </is>
      </c>
    </row>
    <row r="37">
      <c r="A37" t="inlineStr">
        <is>
          <t>ESTUCO VENECIANO</t>
        </is>
      </c>
      <c r="B37" t="inlineStr">
        <is>
          <t>ESTUCO VENECIANO</t>
        </is>
      </c>
      <c r="C37" t="n">
        <v>4</v>
      </c>
      <c r="D37" t="n">
        <v>18.999</v>
      </c>
      <c r="E37" t="n">
        <v>380</v>
      </c>
      <c r="F37" t="n">
        <v>460</v>
      </c>
      <c r="G37" t="n">
        <v>80</v>
      </c>
      <c r="H37" t="n">
        <v>17.391304</v>
      </c>
      <c r="I37" t="n">
        <v>21.052632</v>
      </c>
      <c r="J37" t="inlineStr">
        <is>
          <t>4 - 18.999 kg</t>
        </is>
      </c>
    </row>
    <row r="38">
      <c r="A38" t="inlineStr">
        <is>
          <t>ESTUCO VENECIANO</t>
        </is>
      </c>
      <c r="B38" t="inlineStr">
        <is>
          <t>ESTUCO VENECIANO</t>
        </is>
      </c>
      <c r="C38" t="n">
        <v>19</v>
      </c>
      <c r="D38" t="inlineStr"/>
      <c r="E38" t="n">
        <v>361</v>
      </c>
      <c r="F38" t="n">
        <v>440</v>
      </c>
      <c r="G38" t="n">
        <v>79</v>
      </c>
      <c r="H38" t="n">
        <v>17.954545</v>
      </c>
      <c r="I38" t="n">
        <v>21.883657</v>
      </c>
      <c r="J38" t="inlineStr">
        <is>
          <t>+ 19 kg</t>
        </is>
      </c>
    </row>
    <row r="39">
      <c r="A39" t="inlineStr">
        <is>
          <t>GRANO WALL</t>
        </is>
      </c>
      <c r="B39" t="inlineStr">
        <is>
          <t>GRANO WALL</t>
        </is>
      </c>
      <c r="C39" t="n">
        <v>4</v>
      </c>
      <c r="D39" t="n">
        <v>18.999</v>
      </c>
      <c r="E39" t="n">
        <v>231.58</v>
      </c>
      <c r="F39" t="n">
        <v>275</v>
      </c>
      <c r="G39" t="n">
        <v>43.42</v>
      </c>
      <c r="H39" t="n">
        <v>15.789091</v>
      </c>
      <c r="I39" t="n">
        <v>18.74946</v>
      </c>
      <c r="J39" t="inlineStr">
        <is>
          <t>4 - 18.999 kg</t>
        </is>
      </c>
    </row>
    <row r="40">
      <c r="A40" t="inlineStr">
        <is>
          <t>GRANO WALL</t>
        </is>
      </c>
      <c r="B40" t="inlineStr">
        <is>
          <t>GRANO WALL</t>
        </is>
      </c>
      <c r="C40" t="n">
        <v>19</v>
      </c>
      <c r="D40" t="inlineStr"/>
      <c r="E40" t="n">
        <v>182.83</v>
      </c>
      <c r="F40" t="n">
        <v>225</v>
      </c>
      <c r="G40" t="n">
        <v>42.17</v>
      </c>
      <c r="H40" t="n">
        <v>18.742222</v>
      </c>
      <c r="I40" t="n">
        <v>23.065142</v>
      </c>
      <c r="J40" t="inlineStr">
        <is>
          <t>+ 19 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2026-09-19T22:08:47Z</dcterms:created>
  <dcterms:modified xsi:type="dcterms:W3CDTF">2026-10-31T21:48:09Z</dcterms:modified>
</cp:coreProperties>
</file>