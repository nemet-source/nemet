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dor\Desktop\NEMET_PRO\"/>
    </mc:Choice>
  </mc:AlternateContent>
  <bookViews>
    <workbookView xWindow="0" yWindow="0" windowWidth="20490" windowHeight="7530"/>
  </bookViews>
  <sheets>
    <sheet name="Inventario" sheetId="1" r:id="rId1"/>
    <sheet name="Cotizador_Rendimientos" sheetId="2" r:id="rId2"/>
    <sheet name="Cat_Productos" sheetId="3" r:id="rId3"/>
    <sheet name="Clientes" sheetId="4" r:id="rId4"/>
    <sheet name="Historial_Cotizaciones" sheetId="5" r:id="rId5"/>
    <sheet name="Escalas_Precios_KG" sheetId="6" r:id="rId6"/>
  </sheets>
  <calcPr calcId="162913"/>
</workbook>
</file>

<file path=xl/calcChain.xml><?xml version="1.0" encoding="utf-8"?>
<calcChain xmlns="http://schemas.openxmlformats.org/spreadsheetml/2006/main">
  <c r="L70" i="1" l="1"/>
  <c r="M70" i="1" s="1"/>
  <c r="L71" i="1"/>
  <c r="M71" i="1" s="1"/>
  <c r="L72" i="1"/>
  <c r="M72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3" i="1"/>
  <c r="M3" i="1" s="1"/>
  <c r="L4" i="1"/>
  <c r="M4" i="1" s="1"/>
  <c r="L5" i="1"/>
  <c r="M5" i="1" s="1"/>
  <c r="L6" i="1"/>
  <c r="M6" i="1" s="1"/>
  <c r="L7" i="1"/>
  <c r="M7" i="1" s="1"/>
  <c r="B20" i="2" l="1"/>
  <c r="E19" i="2"/>
  <c r="B19" i="2"/>
  <c r="F19" i="2" s="1"/>
  <c r="E18" i="2"/>
  <c r="B18" i="2"/>
  <c r="F18" i="2" s="1"/>
  <c r="E17" i="2"/>
  <c r="B17" i="2"/>
  <c r="F17" i="2" s="1"/>
  <c r="E16" i="2"/>
  <c r="B16" i="2"/>
  <c r="F16" i="2" s="1"/>
  <c r="E15" i="2"/>
  <c r="B15" i="2"/>
  <c r="F15" i="2" s="1"/>
  <c r="B9" i="2"/>
  <c r="B11" i="2" s="1"/>
  <c r="C27" i="2" l="1"/>
  <c r="C28" i="2" s="1"/>
  <c r="D20" i="2"/>
  <c r="E20" i="2" s="1"/>
  <c r="B22" i="2" s="1"/>
  <c r="C15" i="2"/>
  <c r="C16" i="2"/>
  <c r="C17" i="2"/>
  <c r="C18" i="2"/>
  <c r="C19" i="2"/>
  <c r="C20" i="2"/>
  <c r="F20" i="2" l="1"/>
  <c r="B23" i="2" s="1"/>
</calcChain>
</file>

<file path=xl/sharedStrings.xml><?xml version="1.0" encoding="utf-8"?>
<sst xmlns="http://schemas.openxmlformats.org/spreadsheetml/2006/main" count="510" uniqueCount="243">
  <si>
    <t>CONTROL DE INVENTARIO Y FACTURACIÓN - NEMET</t>
  </si>
  <si>
    <t>SKU</t>
  </si>
  <si>
    <t>Presentacion</t>
  </si>
  <si>
    <t>StockMinimo</t>
  </si>
  <si>
    <t>StockInicial</t>
  </si>
  <si>
    <t>Entradas</t>
  </si>
  <si>
    <t>Salidas</t>
  </si>
  <si>
    <t>StockActual</t>
  </si>
  <si>
    <t>AlertaStock</t>
  </si>
  <si>
    <t>EPO-DEEP TRANSPARENTE</t>
  </si>
  <si>
    <t>⚠️ REABASTECER</t>
  </si>
  <si>
    <t>EPO-FAST (A Y B) TRANSPARENTE</t>
  </si>
  <si>
    <t>EPOXY PISOS (A Y B) TRANSPARENTE</t>
  </si>
  <si>
    <t>EPOXY PRIMER (A Y B) TRANSPARENTE</t>
  </si>
  <si>
    <t>EPO-DEEP ULTRA (A Y B) TRANSPARENTE</t>
  </si>
  <si>
    <t>POLIURETANO (A Y B) TRANSPARENTE</t>
  </si>
  <si>
    <t>EPOXY PASTA COLORES SÓLIDOS</t>
  </si>
  <si>
    <t>PIGMENTOS FOTOLUMINISCENTES</t>
  </si>
  <si>
    <t>EPOXY METAL PERLADO Y METÁLICOS EN POLVO</t>
  </si>
  <si>
    <t>EPOXY-HOJUELA (1 color)</t>
  </si>
  <si>
    <t>+ 60 kg</t>
  </si>
  <si>
    <t>CÁSCARA DE NARANJA</t>
  </si>
  <si>
    <t>+ 20 kg</t>
  </si>
  <si>
    <t>EPOXY CUARZO</t>
  </si>
  <si>
    <t>COTIZADOR Y CALCULADORA DE RENDIMIENTOS - NEMET</t>
  </si>
  <si>
    <t>INSTRUCCIONES: Ingrese en la tabla de abajo el producto que desea el cliente, los metros cuadrados (m²) y el espesor deseado (mm). El sistema calculará automáticamente la presentación ideal y el costo total.</t>
  </si>
  <si>
    <t>--- DATOS DE COTIZACIÓN PARA EL CLIENTE ---</t>
  </si>
  <si>
    <t>Producto Seleccionado</t>
  </si>
  <si>
    <t>Área del Espacio (m²)</t>
  </si>
  <si>
    <t>Espesor Requerido (mm)</t>
  </si>
  <si>
    <t>Rendimiento Teórico (kg/m² por mm)</t>
  </si>
  <si>
    <t>TOTAL DE MATERIAL NECESARIO (kg)</t>
  </si>
  <si>
    <t>kg</t>
  </si>
  <si>
    <t>--- PRESENTACIONES DISPONIBLES Y RECOMENDACIÓN DE VENTA ---</t>
  </si>
  <si>
    <t>Presentación (kg)</t>
  </si>
  <si>
    <t>Precio Público (IVA Inc.)</t>
  </si>
  <si>
    <t>Costo por kg</t>
  </si>
  <si>
    <t>¿Cuántas unidades incluir?</t>
  </si>
  <si>
    <t>Kg aportados</t>
  </si>
  <si>
    <t>Subtotal ($)</t>
  </si>
  <si>
    <t>TOTAL KILOGRAMOS CUBIERTOS</t>
  </si>
  <si>
    <t>kg (Debe cubrir al menos 19.2 kg)</t>
  </si>
  <si>
    <t>TOTAL A PAGAR POR EL CLIENTE (IVA Inc.)</t>
  </si>
  <si>
    <t>$ MXN</t>
  </si>
  <si>
    <t>--- PROPORCIÓN DE MEZCLA (PARTE A Y PARTE B) ---</t>
  </si>
  <si>
    <t>Componente</t>
  </si>
  <si>
    <t>Proporción / Relación</t>
  </si>
  <si>
    <t>Kg a mezclar según total requerido</t>
  </si>
  <si>
    <t>Parte A (Resina)</t>
  </si>
  <si>
    <t>100 partes</t>
  </si>
  <si>
    <t>Parte B (Catalizador)</t>
  </si>
  <si>
    <t>50 partes</t>
  </si>
  <si>
    <t>Producto</t>
  </si>
  <si>
    <t>PrecioPublico</t>
  </si>
  <si>
    <t>Rendimiento</t>
  </si>
  <si>
    <t>Prop_A</t>
  </si>
  <si>
    <t>Prop_B</t>
  </si>
  <si>
    <t>Dosis_g_m2</t>
  </si>
  <si>
    <t>Fuente_Dosis</t>
  </si>
  <si>
    <t>Manual NEMET: 10 g/m²</t>
  </si>
  <si>
    <t>EPOXY TINTA</t>
  </si>
  <si>
    <t>Referencia de trabajo: ≈60 ml/m² (1 L ≈ 16 m²); ajustar si el manual la especifica</t>
  </si>
  <si>
    <t>Criterio NEMET para pigmentos en polvo (ajustable)</t>
  </si>
  <si>
    <t>Manual NEMET: 8 g/m²</t>
  </si>
  <si>
    <t>Nombre</t>
  </si>
  <si>
    <t>Empresa</t>
  </si>
  <si>
    <t>Correo</t>
  </si>
  <si>
    <t>Teléfono</t>
  </si>
  <si>
    <t>Dirección</t>
  </si>
  <si>
    <t>Luis Manuel Merelles Lourido</t>
  </si>
  <si>
    <t>Nemet</t>
  </si>
  <si>
    <t>luismerelles@gmail.com</t>
  </si>
  <si>
    <t>Folio</t>
  </si>
  <si>
    <t>Fecha</t>
  </si>
  <si>
    <t>Cliente</t>
  </si>
  <si>
    <t>Detalle_Productos</t>
  </si>
  <si>
    <t>Total</t>
  </si>
  <si>
    <t>COT-2026-001</t>
  </si>
  <si>
    <t>2026-09-28 14:10:48</t>
  </si>
  <si>
    <t>2x EPO-DEEP TRANSPARENTE (7.100 kg) [12.00 m² x 1 mm]</t>
  </si>
  <si>
    <t>Producto_Proveedor</t>
  </si>
  <si>
    <t>Producto_NEMET</t>
  </si>
  <si>
    <t>Rango_Desde_Kg</t>
  </si>
  <si>
    <t>Rango_Hasta_Kg</t>
  </si>
  <si>
    <t>Costo_Compra_IVA_por_Kg</t>
  </si>
  <si>
    <t>Precio_Publico_por_Kg</t>
  </si>
  <si>
    <t>Margen_por_Kg</t>
  </si>
  <si>
    <t>Margen_Porcentaje_Sobre_Venta</t>
  </si>
  <si>
    <t>Margen_Markup_Sobre_Costo</t>
  </si>
  <si>
    <t>Rango_Texto_Original</t>
  </si>
  <si>
    <t>EPOXY PISOS</t>
  </si>
  <si>
    <t>0 - 5.999 kg</t>
  </si>
  <si>
    <t>6 - 9.999 kg</t>
  </si>
  <si>
    <t>10 - 14.999 kg</t>
  </si>
  <si>
    <t>15 - 19.999 kg</t>
  </si>
  <si>
    <t>EPOXY PRIMER</t>
  </si>
  <si>
    <t>0 - 9.999 kg</t>
  </si>
  <si>
    <t>10 - 19.999 kg</t>
  </si>
  <si>
    <t>0 - 3.999 kg</t>
  </si>
  <si>
    <t>4 - 7.999 kg</t>
  </si>
  <si>
    <t>8 - 19.999 kg</t>
  </si>
  <si>
    <t>EPO-DEEP</t>
  </si>
  <si>
    <t>0 - 4.299 kg</t>
  </si>
  <si>
    <t>4.3 - 7.099 kg</t>
  </si>
  <si>
    <t>7.1 - 16.999 kg</t>
  </si>
  <si>
    <t>+ 17 kg</t>
  </si>
  <si>
    <t>EPO-DEEP ULTRA</t>
  </si>
  <si>
    <t>0 - 6.699 kg</t>
  </si>
  <si>
    <t>6.7 - 13.299 kg</t>
  </si>
  <si>
    <t>13.3 - 23.999 kg</t>
  </si>
  <si>
    <t>+ 24 kg</t>
  </si>
  <si>
    <t>EPO-FAST</t>
  </si>
  <si>
    <t>10 - 18.999 kg</t>
  </si>
  <si>
    <t>+ 19 kg</t>
  </si>
  <si>
    <t>0 - 59.999 kg</t>
  </si>
  <si>
    <t>EPOXY-HOJUELA (combinación)</t>
  </si>
  <si>
    <t>Epoxy pisos 5K</t>
  </si>
  <si>
    <t>0 - 5.999 KG</t>
  </si>
  <si>
    <t>Epoxy pisos 9K</t>
  </si>
  <si>
    <t>6 - 9.999 KG</t>
  </si>
  <si>
    <t>Epoxy pisos 14 K</t>
  </si>
  <si>
    <t>10 - 14,999 KG</t>
  </si>
  <si>
    <t>Epoxy pisos 19 K</t>
  </si>
  <si>
    <t>15 - 19,999 KG</t>
  </si>
  <si>
    <t>Epoxy pisos +20 k</t>
  </si>
  <si>
    <t>+ 20 KG</t>
  </si>
  <si>
    <t>Costo proveedor (MXN)</t>
  </si>
  <si>
    <t>Precio público sugerido (MXN)</t>
  </si>
  <si>
    <t>Margen bruto unitario (MXN)</t>
  </si>
  <si>
    <t>Margen bruto (%)</t>
  </si>
  <si>
    <t>Línea</t>
  </si>
  <si>
    <t>Resina</t>
  </si>
  <si>
    <t>Unidad de venta</t>
  </si>
  <si>
    <t>Cáscara de Naranja 4K</t>
  </si>
  <si>
    <t>0 - 3,999 KG</t>
  </si>
  <si>
    <t>Cáscara de Naranja 8K</t>
  </si>
  <si>
    <t>4 - 7,999 KG</t>
  </si>
  <si>
    <t>Cáscara de Naranja 19K</t>
  </si>
  <si>
    <t>8 - 19,999 KG</t>
  </si>
  <si>
    <t>Cáscara de Naranja +20K</t>
  </si>
  <si>
    <t>Estuco Veneciano 1 L</t>
  </si>
  <si>
    <t>1 LT</t>
  </si>
  <si>
    <t>Estuco Veneciano 4 L</t>
  </si>
  <si>
    <t>4 LT</t>
  </si>
  <si>
    <t>Estuco Veneciano 19 L</t>
  </si>
  <si>
    <t>19 LT</t>
  </si>
  <si>
    <t>Grano Wall 4 L</t>
  </si>
  <si>
    <t>Grano Wall 19 L</t>
  </si>
  <si>
    <t>Epo Deep 4 KG</t>
  </si>
  <si>
    <t>0 - 4,299 KG</t>
  </si>
  <si>
    <t>Epo Deep 7 KG</t>
  </si>
  <si>
    <t>4.3 - 7,099 KG</t>
  </si>
  <si>
    <t>Epo Deep 16 KG</t>
  </si>
  <si>
    <t>7.1 - 16,999 KG</t>
  </si>
  <si>
    <t>Epo Deep + 17KG</t>
  </si>
  <si>
    <t>+ 17 KG</t>
  </si>
  <si>
    <t>Epo Deep ULTRA 6 KG</t>
  </si>
  <si>
    <t>0 - 6,699 KG</t>
  </si>
  <si>
    <t>Epo Deep ULTRA 13 KG</t>
  </si>
  <si>
    <t>6.7 - 13,299 KG</t>
  </si>
  <si>
    <t>Epo Deep ULTRA 23Kg</t>
  </si>
  <si>
    <t>13.3 - 23,999 KG</t>
  </si>
  <si>
    <t>Epo Deep ULTRA +24</t>
  </si>
  <si>
    <t>+ 24 KG</t>
  </si>
  <si>
    <t>Epo Fast 6K</t>
  </si>
  <si>
    <t>0 - 5,999 KG</t>
  </si>
  <si>
    <t>Epo Fast 10K</t>
  </si>
  <si>
    <t>6 - 9,999 KG</t>
  </si>
  <si>
    <t>Epo Fast 19K</t>
  </si>
  <si>
    <t>10 - 18,999 KG</t>
  </si>
  <si>
    <t>Epo Fast +19K</t>
  </si>
  <si>
    <t>+ 19 KG</t>
  </si>
  <si>
    <t>Poliuretano 5L</t>
  </si>
  <si>
    <t>0 - 4,999 LT</t>
  </si>
  <si>
    <t>Poliuretano 10L</t>
  </si>
  <si>
    <t>5 - 9,999 LT</t>
  </si>
  <si>
    <t>Poliuretano 20L</t>
  </si>
  <si>
    <t>10 - 19,999 LT</t>
  </si>
  <si>
    <t>Poliuretano +20L</t>
  </si>
  <si>
    <t>+ 20 LT</t>
  </si>
  <si>
    <t>Epoxy Cuarzo 60K</t>
  </si>
  <si>
    <t>0 - 59,999 KG</t>
  </si>
  <si>
    <t>Epoxy Cuarzo +60K</t>
  </si>
  <si>
    <t>+ 60 KG</t>
  </si>
  <si>
    <t>Rodillo de Picos</t>
  </si>
  <si>
    <t>PZA</t>
  </si>
  <si>
    <t>Jalador Epóxico Premium</t>
  </si>
  <si>
    <t>Jalador Epóxico Eco</t>
  </si>
  <si>
    <t>Jalador Dentado</t>
  </si>
  <si>
    <t>Cuña para Vinil</t>
  </si>
  <si>
    <t>Rodillo 9''</t>
  </si>
  <si>
    <t>Rodillo 4''</t>
  </si>
  <si>
    <t>Felpa 9''</t>
  </si>
  <si>
    <t>Felpa 4''</t>
  </si>
  <si>
    <t>Epoxy Spikes</t>
  </si>
  <si>
    <t>Epoxy Spikes Premium</t>
  </si>
  <si>
    <t>Kit Borlas Pulimento</t>
  </si>
  <si>
    <t>Epoxy Bubbles</t>
  </si>
  <si>
    <t>Lijadora de Piso</t>
  </si>
  <si>
    <t>Epoxy Veins</t>
  </si>
  <si>
    <t>Hojuela 1 Color 60K</t>
  </si>
  <si>
    <t>Hojuela 1 Color +60K</t>
  </si>
  <si>
    <t>Hojuela Combinado 60K</t>
  </si>
  <si>
    <t>Hojuela Combinado +60K</t>
  </si>
  <si>
    <t>Epoxy Tinta 20 ML</t>
  </si>
  <si>
    <t>20 ML</t>
  </si>
  <si>
    <t>Epoxy Tinta 60 ML</t>
  </si>
  <si>
    <t>60 ML</t>
  </si>
  <si>
    <t>Epoxy Tinta 100 ML</t>
  </si>
  <si>
    <t>100 ML</t>
  </si>
  <si>
    <t>Epoxy Tinta 250 ML</t>
  </si>
  <si>
    <t>250 ML</t>
  </si>
  <si>
    <t>Epoxy Tinta 500 ML</t>
  </si>
  <si>
    <t>500 ML</t>
  </si>
  <si>
    <t>Epoxy Tinta 1 LT</t>
  </si>
  <si>
    <t>Epoxy Pasta 60 GR</t>
  </si>
  <si>
    <t>60 GR</t>
  </si>
  <si>
    <t>Epoxy Pasta 100 GR</t>
  </si>
  <si>
    <t>100 GR</t>
  </si>
  <si>
    <t>Epoxy Pasta 250 GR</t>
  </si>
  <si>
    <t>250 GR</t>
  </si>
  <si>
    <t>Epoxy Pasta 500 GR</t>
  </si>
  <si>
    <t>500 GR</t>
  </si>
  <si>
    <t>Epoxy Pasta 1 KG</t>
  </si>
  <si>
    <t>1 KG</t>
  </si>
  <si>
    <t>Epoxy Metal 10 GR</t>
  </si>
  <si>
    <t>10 GR</t>
  </si>
  <si>
    <t>Epoxy Metal 30 GR</t>
  </si>
  <si>
    <t>30 GR</t>
  </si>
  <si>
    <t>Epoxy Metal 50 GR</t>
  </si>
  <si>
    <t>50 GR</t>
  </si>
  <si>
    <t>Epoxy Metal 100 GR</t>
  </si>
  <si>
    <t>Epoxy Metal 200 GR</t>
  </si>
  <si>
    <t>200 GR</t>
  </si>
  <si>
    <t>Complemento</t>
  </si>
  <si>
    <t>Acabado</t>
  </si>
  <si>
    <t>Herramienta</t>
  </si>
  <si>
    <t>20 KG</t>
  </si>
  <si>
    <t>10 - 19,999 KG</t>
  </si>
  <si>
    <t>0 - 9,999 KG</t>
  </si>
  <si>
    <t>EPOXY PRIMER 9 Kg</t>
  </si>
  <si>
    <t>EPOXY PRIMER 19 kg</t>
  </si>
  <si>
    <t>EPOXY PRIMER +20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</si>
</sst>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8" formatCode="&quot;$&quot;#,##0.00;[Red]\-&quot;$&quot;#,##0.00"/>
    <numFmt numFmtId="164" formatCode="0.0\ &quot;kg&quot;"/>
    <numFmt numFmtId="165" formatCode="\$#,##0"/>
    <numFmt numFmtId="166" formatCode="\$#,##0.00"/>
    <numFmt numFmtId="167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FAFC"/>
        <bgColor rgb="FFFFFFFF"/>
      </patternFill>
    </fill>
    <fill>
      <patternFill patternType="solid">
        <fgColor rgb="FF0F6B78"/>
        <bgColor rgb="FF00808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3" borderId="0" xfId="0" applyFont="1" applyFill="1" applyAlignment="1">
      <alignment vertical="center" wrapText="1"/>
    </xf>
    <xf numFmtId="166" fontId="0" fillId="2" borderId="1" xfId="0" applyNumberFormat="1" applyFill="1" applyBorder="1" applyAlignment="1">
      <alignment vertical="center"/>
    </xf>
    <xf numFmtId="167" fontId="0" fillId="2" borderId="1" xfId="0" applyNumberFormat="1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7" fontId="0" fillId="0" borderId="1" xfId="0" applyNumberFormat="1" applyBorder="1" applyAlignment="1">
      <alignment vertical="center"/>
    </xf>
    <xf numFmtId="166" fontId="0" fillId="0" borderId="1" xfId="0" applyNumberFormat="1" applyBorder="1"/>
    <xf numFmtId="166" fontId="0" fillId="2" borderId="1" xfId="0" applyNumberFormat="1" applyFill="1" applyBorder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0"/>
  <sheetViews>
    <sheetView tabSelected="1" topLeftCell="A43" workbookViewId="0">
      <selection activeCell="B64" sqref="B64"/>
    </sheetView>
  </sheetViews>
  <sheetFormatPr baseColWidth="10" defaultColWidth="9.140625" defaultRowHeight="15" x14ac:dyDescent="0.25"/>
  <cols>
    <col min="2" max="2" width="41" customWidth="1"/>
    <col min="3" max="3" width="14.28515625" customWidth="1"/>
    <col min="4" max="4" width="14.42578125" customWidth="1"/>
    <col min="5" max="5" width="12" customWidth="1"/>
    <col min="8" max="8" width="12" customWidth="1"/>
    <col min="9" max="9" width="18.7109375" customWidth="1"/>
    <col min="10" max="10" width="19.28515625" customWidth="1"/>
    <col min="11" max="11" width="17.42578125" customWidth="1"/>
    <col min="12" max="12" width="15.85546875" customWidth="1"/>
    <col min="13" max="13" width="13.5703125" customWidth="1"/>
    <col min="14" max="14" width="19.28515625" customWidth="1"/>
  </cols>
  <sheetData>
    <row r="1" spans="1:14" x14ac:dyDescent="0.25">
      <c r="A1" t="s">
        <v>0</v>
      </c>
    </row>
    <row r="2" spans="1:14" ht="30" x14ac:dyDescent="0.25">
      <c r="A2" s="6" t="s">
        <v>1</v>
      </c>
      <c r="B2" s="6" t="s">
        <v>52</v>
      </c>
      <c r="C2" s="6" t="s">
        <v>132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126</v>
      </c>
      <c r="K2" s="6" t="s">
        <v>127</v>
      </c>
      <c r="L2" s="6" t="s">
        <v>128</v>
      </c>
      <c r="M2" s="6" t="s">
        <v>129</v>
      </c>
      <c r="N2" s="6" t="s">
        <v>130</v>
      </c>
    </row>
    <row r="3" spans="1:14" x14ac:dyDescent="0.25">
      <c r="B3" s="4" t="s">
        <v>116</v>
      </c>
      <c r="C3" s="4" t="s">
        <v>117</v>
      </c>
      <c r="D3">
        <v>5</v>
      </c>
      <c r="E3">
        <v>0</v>
      </c>
      <c r="F3">
        <v>0</v>
      </c>
      <c r="G3">
        <v>0</v>
      </c>
      <c r="H3">
        <v>0</v>
      </c>
      <c r="I3" t="s">
        <v>10</v>
      </c>
      <c r="J3" s="7">
        <v>361.42</v>
      </c>
      <c r="K3" s="7">
        <v>480</v>
      </c>
      <c r="L3" s="7">
        <f t="shared" ref="L3:L66" si="0">IF(OR(J3="",K3=""),"",K3-J3)</f>
        <v>118.57999999999998</v>
      </c>
      <c r="M3" s="8">
        <f t="shared" ref="M3:M66" si="1">IFERROR(L3/K3,"")</f>
        <v>0.24704166666666663</v>
      </c>
      <c r="N3" s="4" t="s">
        <v>131</v>
      </c>
    </row>
    <row r="4" spans="1:14" x14ac:dyDescent="0.25">
      <c r="B4" s="5" t="s">
        <v>118</v>
      </c>
      <c r="C4" s="5" t="s">
        <v>119</v>
      </c>
      <c r="D4">
        <v>5</v>
      </c>
      <c r="E4">
        <v>0</v>
      </c>
      <c r="F4">
        <v>0</v>
      </c>
      <c r="G4">
        <v>0</v>
      </c>
      <c r="H4">
        <v>0</v>
      </c>
      <c r="I4" t="s">
        <v>10</v>
      </c>
      <c r="J4" s="9">
        <v>346.02</v>
      </c>
      <c r="K4" s="9">
        <v>460</v>
      </c>
      <c r="L4" s="9">
        <f t="shared" si="0"/>
        <v>113.98000000000002</v>
      </c>
      <c r="M4" s="10">
        <f t="shared" si="1"/>
        <v>0.24778260869565222</v>
      </c>
      <c r="N4" s="5" t="s">
        <v>131</v>
      </c>
    </row>
    <row r="5" spans="1:14" x14ac:dyDescent="0.25">
      <c r="B5" s="4" t="s">
        <v>120</v>
      </c>
      <c r="C5" s="4" t="s">
        <v>121</v>
      </c>
      <c r="D5">
        <v>5</v>
      </c>
      <c r="E5">
        <v>0</v>
      </c>
      <c r="F5">
        <v>0</v>
      </c>
      <c r="G5">
        <v>0</v>
      </c>
      <c r="H5">
        <v>0</v>
      </c>
      <c r="I5" t="s">
        <v>10</v>
      </c>
      <c r="J5" s="7">
        <v>332.95</v>
      </c>
      <c r="K5" s="7">
        <v>440</v>
      </c>
      <c r="L5" s="7">
        <f t="shared" si="0"/>
        <v>107.05000000000001</v>
      </c>
      <c r="M5" s="8">
        <f t="shared" si="1"/>
        <v>0.24329545454545456</v>
      </c>
      <c r="N5" s="4" t="s">
        <v>131</v>
      </c>
    </row>
    <row r="6" spans="1:14" x14ac:dyDescent="0.25">
      <c r="B6" s="5" t="s">
        <v>122</v>
      </c>
      <c r="C6" s="5" t="s">
        <v>123</v>
      </c>
      <c r="D6">
        <v>5</v>
      </c>
      <c r="E6">
        <v>0</v>
      </c>
      <c r="F6">
        <v>0</v>
      </c>
      <c r="G6">
        <v>0</v>
      </c>
      <c r="H6">
        <v>0</v>
      </c>
      <c r="I6" t="s">
        <v>10</v>
      </c>
      <c r="J6" s="9">
        <v>316.8</v>
      </c>
      <c r="K6" s="9">
        <v>420</v>
      </c>
      <c r="L6" s="9">
        <f t="shared" si="0"/>
        <v>103.19999999999999</v>
      </c>
      <c r="M6" s="10">
        <f t="shared" si="1"/>
        <v>0.24571428571428569</v>
      </c>
      <c r="N6" s="5" t="s">
        <v>131</v>
      </c>
    </row>
    <row r="7" spans="1:14" x14ac:dyDescent="0.25">
      <c r="B7" s="4" t="s">
        <v>124</v>
      </c>
      <c r="C7" s="4" t="s">
        <v>125</v>
      </c>
      <c r="D7">
        <v>5</v>
      </c>
      <c r="E7">
        <v>0</v>
      </c>
      <c r="F7">
        <v>0</v>
      </c>
      <c r="G7">
        <v>0</v>
      </c>
      <c r="H7">
        <v>0</v>
      </c>
      <c r="I7" t="s">
        <v>10</v>
      </c>
      <c r="J7" s="7">
        <v>301.45</v>
      </c>
      <c r="K7" s="7">
        <v>400</v>
      </c>
      <c r="L7" s="7">
        <f t="shared" si="0"/>
        <v>98.550000000000011</v>
      </c>
      <c r="M7" s="8">
        <f t="shared" si="1"/>
        <v>0.24637500000000004</v>
      </c>
      <c r="N7" s="4" t="s">
        <v>131</v>
      </c>
    </row>
    <row r="8" spans="1:14" x14ac:dyDescent="0.25">
      <c r="B8" s="4" t="s">
        <v>133</v>
      </c>
      <c r="C8" s="4" t="s">
        <v>134</v>
      </c>
      <c r="D8">
        <v>5</v>
      </c>
      <c r="E8">
        <v>0</v>
      </c>
      <c r="F8">
        <v>0</v>
      </c>
      <c r="G8">
        <v>0</v>
      </c>
      <c r="H8">
        <v>0</v>
      </c>
      <c r="I8" t="s">
        <v>10</v>
      </c>
      <c r="J8" s="7">
        <v>444.45</v>
      </c>
      <c r="K8" s="7">
        <v>580</v>
      </c>
      <c r="L8" s="7">
        <f t="shared" si="0"/>
        <v>135.55000000000001</v>
      </c>
      <c r="M8" s="8">
        <f t="shared" si="1"/>
        <v>0.23370689655172416</v>
      </c>
      <c r="N8" s="4" t="s">
        <v>234</v>
      </c>
    </row>
    <row r="9" spans="1:14" x14ac:dyDescent="0.25">
      <c r="B9" s="5" t="s">
        <v>135</v>
      </c>
      <c r="C9" s="5" t="s">
        <v>136</v>
      </c>
      <c r="D9">
        <v>5</v>
      </c>
      <c r="E9">
        <v>0</v>
      </c>
      <c r="F9">
        <v>0</v>
      </c>
      <c r="G9">
        <v>0</v>
      </c>
      <c r="H9">
        <v>0</v>
      </c>
      <c r="I9" t="s">
        <v>10</v>
      </c>
      <c r="J9" s="9">
        <v>433.74</v>
      </c>
      <c r="K9" s="9">
        <v>560</v>
      </c>
      <c r="L9" s="9">
        <f t="shared" si="0"/>
        <v>126.25999999999999</v>
      </c>
      <c r="M9" s="10">
        <f t="shared" si="1"/>
        <v>0.2254642857142857</v>
      </c>
      <c r="N9" s="5" t="s">
        <v>235</v>
      </c>
    </row>
    <row r="10" spans="1:14" x14ac:dyDescent="0.25">
      <c r="B10" s="4" t="s">
        <v>137</v>
      </c>
      <c r="C10" s="4" t="s">
        <v>138</v>
      </c>
      <c r="D10">
        <v>5</v>
      </c>
      <c r="E10">
        <v>0</v>
      </c>
      <c r="F10">
        <v>0</v>
      </c>
      <c r="G10">
        <v>0</v>
      </c>
      <c r="H10">
        <v>0</v>
      </c>
      <c r="I10" t="s">
        <v>10</v>
      </c>
      <c r="J10" s="7">
        <v>423.54</v>
      </c>
      <c r="K10" s="7">
        <v>540</v>
      </c>
      <c r="L10" s="7">
        <f t="shared" si="0"/>
        <v>116.45999999999998</v>
      </c>
      <c r="M10" s="8">
        <f t="shared" si="1"/>
        <v>0.21566666666666662</v>
      </c>
      <c r="N10" s="4" t="s">
        <v>235</v>
      </c>
    </row>
    <row r="11" spans="1:14" x14ac:dyDescent="0.25">
      <c r="B11" s="5" t="s">
        <v>139</v>
      </c>
      <c r="C11" s="5" t="s">
        <v>125</v>
      </c>
      <c r="D11">
        <v>5</v>
      </c>
      <c r="E11">
        <v>0</v>
      </c>
      <c r="F11">
        <v>0</v>
      </c>
      <c r="G11">
        <v>0</v>
      </c>
      <c r="H11">
        <v>0</v>
      </c>
      <c r="I11" t="s">
        <v>10</v>
      </c>
      <c r="J11" s="9">
        <v>413.8</v>
      </c>
      <c r="K11" s="9">
        <v>520</v>
      </c>
      <c r="L11" s="9">
        <f t="shared" si="0"/>
        <v>106.19999999999999</v>
      </c>
      <c r="M11" s="10">
        <f t="shared" si="1"/>
        <v>0.20423076923076922</v>
      </c>
      <c r="N11" s="5" t="s">
        <v>236</v>
      </c>
    </row>
    <row r="12" spans="1:14" x14ac:dyDescent="0.25">
      <c r="B12" s="4" t="s">
        <v>140</v>
      </c>
      <c r="C12" s="4" t="s">
        <v>141</v>
      </c>
      <c r="D12">
        <v>5</v>
      </c>
      <c r="E12">
        <v>0</v>
      </c>
      <c r="F12">
        <v>0</v>
      </c>
      <c r="G12">
        <v>0</v>
      </c>
      <c r="H12">
        <v>0</v>
      </c>
      <c r="I12" t="s">
        <v>10</v>
      </c>
      <c r="J12" s="7">
        <v>400</v>
      </c>
      <c r="K12" s="7">
        <v>480</v>
      </c>
      <c r="L12" s="7">
        <f t="shared" si="0"/>
        <v>80</v>
      </c>
      <c r="M12" s="8">
        <f t="shared" si="1"/>
        <v>0.16666666666666666</v>
      </c>
      <c r="N12" s="4" t="s">
        <v>236</v>
      </c>
    </row>
    <row r="13" spans="1:14" x14ac:dyDescent="0.25">
      <c r="B13" s="5" t="s">
        <v>142</v>
      </c>
      <c r="C13" s="5" t="s">
        <v>143</v>
      </c>
      <c r="D13">
        <v>5</v>
      </c>
      <c r="E13">
        <v>0</v>
      </c>
      <c r="F13">
        <v>0</v>
      </c>
      <c r="G13">
        <v>0</v>
      </c>
      <c r="H13">
        <v>0</v>
      </c>
      <c r="I13" t="s">
        <v>10</v>
      </c>
      <c r="J13" s="9">
        <v>380</v>
      </c>
      <c r="K13" s="9">
        <v>460</v>
      </c>
      <c r="L13" s="9">
        <f t="shared" si="0"/>
        <v>80</v>
      </c>
      <c r="M13" s="10">
        <f t="shared" si="1"/>
        <v>0.17391304347826086</v>
      </c>
      <c r="N13" s="5" t="s">
        <v>236</v>
      </c>
    </row>
    <row r="14" spans="1:14" x14ac:dyDescent="0.25">
      <c r="B14" s="4" t="s">
        <v>144</v>
      </c>
      <c r="C14" s="4" t="s">
        <v>145</v>
      </c>
      <c r="D14">
        <v>5</v>
      </c>
      <c r="E14">
        <v>0</v>
      </c>
      <c r="F14">
        <v>0</v>
      </c>
      <c r="G14">
        <v>0</v>
      </c>
      <c r="H14">
        <v>0</v>
      </c>
      <c r="I14" t="s">
        <v>10</v>
      </c>
      <c r="J14" s="7">
        <v>361</v>
      </c>
      <c r="K14" s="7">
        <v>440</v>
      </c>
      <c r="L14" s="7">
        <f t="shared" si="0"/>
        <v>79</v>
      </c>
      <c r="M14" s="8">
        <f t="shared" si="1"/>
        <v>0.17954545454545454</v>
      </c>
      <c r="N14" s="4" t="s">
        <v>236</v>
      </c>
    </row>
    <row r="15" spans="1:14" x14ac:dyDescent="0.25">
      <c r="B15" s="5" t="s">
        <v>146</v>
      </c>
      <c r="C15" s="5" t="s">
        <v>143</v>
      </c>
      <c r="D15">
        <v>5</v>
      </c>
      <c r="E15">
        <v>0</v>
      </c>
      <c r="F15">
        <v>0</v>
      </c>
      <c r="G15">
        <v>0</v>
      </c>
      <c r="H15">
        <v>0</v>
      </c>
      <c r="I15" t="s">
        <v>10</v>
      </c>
      <c r="J15" s="9">
        <v>231.58</v>
      </c>
      <c r="K15" s="9">
        <v>275</v>
      </c>
      <c r="L15" s="9">
        <f t="shared" si="0"/>
        <v>43.419999999999987</v>
      </c>
      <c r="M15" s="10">
        <f t="shared" si="1"/>
        <v>0.15789090909090905</v>
      </c>
      <c r="N15" s="5" t="s">
        <v>236</v>
      </c>
    </row>
    <row r="16" spans="1:14" x14ac:dyDescent="0.25">
      <c r="B16" s="4" t="s">
        <v>147</v>
      </c>
      <c r="C16" s="4" t="s">
        <v>145</v>
      </c>
      <c r="D16">
        <v>5</v>
      </c>
      <c r="E16">
        <v>0</v>
      </c>
      <c r="F16">
        <v>0</v>
      </c>
      <c r="G16">
        <v>0</v>
      </c>
      <c r="H16">
        <v>0</v>
      </c>
      <c r="I16" t="s">
        <v>10</v>
      </c>
      <c r="J16" s="7">
        <v>182.83</v>
      </c>
      <c r="K16" s="7">
        <v>225</v>
      </c>
      <c r="L16" s="7">
        <f t="shared" si="0"/>
        <v>42.169999999999987</v>
      </c>
      <c r="M16" s="8">
        <f t="shared" si="1"/>
        <v>0.18742222222222216</v>
      </c>
      <c r="N16" s="4" t="s">
        <v>236</v>
      </c>
    </row>
    <row r="17" spans="2:14" x14ac:dyDescent="0.25">
      <c r="B17" s="5" t="s">
        <v>148</v>
      </c>
      <c r="C17" s="5" t="s">
        <v>149</v>
      </c>
      <c r="D17">
        <v>5</v>
      </c>
      <c r="E17">
        <v>0</v>
      </c>
      <c r="F17">
        <v>0</v>
      </c>
      <c r="G17">
        <v>0</v>
      </c>
      <c r="H17">
        <v>0</v>
      </c>
      <c r="I17" t="s">
        <v>10</v>
      </c>
      <c r="J17" s="9">
        <v>461.88</v>
      </c>
      <c r="K17" s="9">
        <v>560</v>
      </c>
      <c r="L17" s="9">
        <f t="shared" si="0"/>
        <v>98.12</v>
      </c>
      <c r="M17" s="10">
        <f t="shared" si="1"/>
        <v>0.17521428571428571</v>
      </c>
      <c r="N17" s="5" t="s">
        <v>236</v>
      </c>
    </row>
    <row r="18" spans="2:14" x14ac:dyDescent="0.25">
      <c r="B18" s="4" t="s">
        <v>150</v>
      </c>
      <c r="C18" s="4" t="s">
        <v>151</v>
      </c>
      <c r="D18">
        <v>5</v>
      </c>
      <c r="E18">
        <v>0</v>
      </c>
      <c r="F18">
        <v>0</v>
      </c>
      <c r="G18">
        <v>0</v>
      </c>
      <c r="H18">
        <v>0</v>
      </c>
      <c r="I18" t="s">
        <v>10</v>
      </c>
      <c r="J18" s="7">
        <v>437.44</v>
      </c>
      <c r="K18" s="7">
        <v>540</v>
      </c>
      <c r="L18" s="7">
        <f t="shared" si="0"/>
        <v>102.56</v>
      </c>
      <c r="M18" s="8">
        <f t="shared" si="1"/>
        <v>0.18992592592592594</v>
      </c>
      <c r="N18" s="4" t="s">
        <v>236</v>
      </c>
    </row>
    <row r="19" spans="2:14" x14ac:dyDescent="0.25">
      <c r="B19" s="5" t="s">
        <v>152</v>
      </c>
      <c r="C19" s="5" t="s">
        <v>153</v>
      </c>
      <c r="D19">
        <v>5</v>
      </c>
      <c r="E19">
        <v>0</v>
      </c>
      <c r="F19">
        <v>0</v>
      </c>
      <c r="G19">
        <v>0</v>
      </c>
      <c r="H19">
        <v>0</v>
      </c>
      <c r="I19" t="s">
        <v>10</v>
      </c>
      <c r="J19" s="9">
        <v>424.71</v>
      </c>
      <c r="K19" s="9">
        <v>520</v>
      </c>
      <c r="L19" s="9">
        <f t="shared" si="0"/>
        <v>95.29000000000002</v>
      </c>
      <c r="M19" s="10">
        <f t="shared" si="1"/>
        <v>0.18325000000000005</v>
      </c>
      <c r="N19" s="5" t="s">
        <v>236</v>
      </c>
    </row>
    <row r="20" spans="2:14" x14ac:dyDescent="0.25">
      <c r="B20" s="4" t="s">
        <v>154</v>
      </c>
      <c r="C20" s="4" t="s">
        <v>155</v>
      </c>
      <c r="D20">
        <v>5</v>
      </c>
      <c r="E20">
        <v>0</v>
      </c>
      <c r="F20">
        <v>0</v>
      </c>
      <c r="G20">
        <v>0</v>
      </c>
      <c r="H20">
        <v>0</v>
      </c>
      <c r="I20" t="s">
        <v>10</v>
      </c>
      <c r="J20" s="7">
        <v>389.43</v>
      </c>
      <c r="K20" s="7">
        <v>500</v>
      </c>
      <c r="L20" s="7">
        <f t="shared" si="0"/>
        <v>110.57</v>
      </c>
      <c r="M20" s="8">
        <f t="shared" si="1"/>
        <v>0.22113999999999998</v>
      </c>
      <c r="N20" s="4" t="s">
        <v>234</v>
      </c>
    </row>
    <row r="21" spans="2:14" x14ac:dyDescent="0.25">
      <c r="B21" s="5" t="s">
        <v>156</v>
      </c>
      <c r="C21" s="5" t="s">
        <v>157</v>
      </c>
      <c r="D21">
        <v>5</v>
      </c>
      <c r="E21">
        <v>0</v>
      </c>
      <c r="F21">
        <v>0</v>
      </c>
      <c r="G21">
        <v>0</v>
      </c>
      <c r="H21">
        <v>0</v>
      </c>
      <c r="I21" t="s">
        <v>10</v>
      </c>
      <c r="J21" s="9">
        <v>392.24</v>
      </c>
      <c r="K21" s="9">
        <v>480</v>
      </c>
      <c r="L21" s="9">
        <f t="shared" si="0"/>
        <v>87.759999999999991</v>
      </c>
      <c r="M21" s="10">
        <f t="shared" si="1"/>
        <v>0.18283333333333332</v>
      </c>
      <c r="N21" s="5" t="s">
        <v>236</v>
      </c>
    </row>
    <row r="22" spans="2:14" x14ac:dyDescent="0.25">
      <c r="B22" s="4" t="s">
        <v>158</v>
      </c>
      <c r="C22" s="4" t="s">
        <v>159</v>
      </c>
      <c r="D22">
        <v>5</v>
      </c>
      <c r="E22">
        <v>0</v>
      </c>
      <c r="F22">
        <v>0</v>
      </c>
      <c r="G22">
        <v>0</v>
      </c>
      <c r="H22">
        <v>0</v>
      </c>
      <c r="I22" t="s">
        <v>10</v>
      </c>
      <c r="J22" s="7">
        <v>373.55</v>
      </c>
      <c r="K22" s="7">
        <v>460</v>
      </c>
      <c r="L22" s="7">
        <f t="shared" si="0"/>
        <v>86.449999999999989</v>
      </c>
      <c r="M22" s="8">
        <f t="shared" si="1"/>
        <v>0.18793478260869562</v>
      </c>
      <c r="N22" s="4" t="s">
        <v>234</v>
      </c>
    </row>
    <row r="23" spans="2:14" x14ac:dyDescent="0.25">
      <c r="B23" s="5" t="s">
        <v>160</v>
      </c>
      <c r="C23" s="5" t="s">
        <v>161</v>
      </c>
      <c r="D23">
        <v>5</v>
      </c>
      <c r="E23">
        <v>0</v>
      </c>
      <c r="F23">
        <v>0</v>
      </c>
      <c r="G23">
        <v>0</v>
      </c>
      <c r="H23">
        <v>0</v>
      </c>
      <c r="I23" t="s">
        <v>10</v>
      </c>
      <c r="J23" s="9">
        <v>355.77</v>
      </c>
      <c r="K23" s="9">
        <v>440</v>
      </c>
      <c r="L23" s="9">
        <f t="shared" si="0"/>
        <v>84.230000000000018</v>
      </c>
      <c r="M23" s="10">
        <f t="shared" si="1"/>
        <v>0.19143181818181823</v>
      </c>
      <c r="N23" s="5" t="s">
        <v>234</v>
      </c>
    </row>
    <row r="24" spans="2:14" x14ac:dyDescent="0.25">
      <c r="B24" s="4" t="s">
        <v>162</v>
      </c>
      <c r="C24" s="4" t="s">
        <v>163</v>
      </c>
      <c r="D24">
        <v>5</v>
      </c>
      <c r="E24">
        <v>0</v>
      </c>
      <c r="F24">
        <v>0</v>
      </c>
      <c r="G24">
        <v>0</v>
      </c>
      <c r="H24">
        <v>0</v>
      </c>
      <c r="I24" t="s">
        <v>10</v>
      </c>
      <c r="J24" s="7">
        <v>325.58</v>
      </c>
      <c r="K24" s="7">
        <v>420</v>
      </c>
      <c r="L24" s="7">
        <f t="shared" si="0"/>
        <v>94.420000000000016</v>
      </c>
      <c r="M24" s="8">
        <f t="shared" si="1"/>
        <v>0.22480952380952385</v>
      </c>
      <c r="N24" s="4" t="s">
        <v>234</v>
      </c>
    </row>
    <row r="25" spans="2:14" x14ac:dyDescent="0.25">
      <c r="B25" s="5" t="s">
        <v>164</v>
      </c>
      <c r="C25" s="5" t="s">
        <v>165</v>
      </c>
      <c r="D25">
        <v>5</v>
      </c>
      <c r="E25">
        <v>0</v>
      </c>
      <c r="F25">
        <v>0</v>
      </c>
      <c r="G25">
        <v>0</v>
      </c>
      <c r="H25">
        <v>0</v>
      </c>
      <c r="I25" t="s">
        <v>10</v>
      </c>
      <c r="J25" s="9">
        <v>392.24</v>
      </c>
      <c r="K25" s="9">
        <v>480</v>
      </c>
      <c r="L25" s="9">
        <f t="shared" si="0"/>
        <v>87.759999999999991</v>
      </c>
      <c r="M25" s="10">
        <f t="shared" si="1"/>
        <v>0.18283333333333332</v>
      </c>
      <c r="N25" s="5" t="s">
        <v>234</v>
      </c>
    </row>
    <row r="26" spans="2:14" x14ac:dyDescent="0.25">
      <c r="B26" s="4" t="s">
        <v>166</v>
      </c>
      <c r="C26" s="4" t="s">
        <v>167</v>
      </c>
      <c r="D26">
        <v>5</v>
      </c>
      <c r="E26">
        <v>0</v>
      </c>
      <c r="F26">
        <v>0</v>
      </c>
      <c r="G26">
        <v>0</v>
      </c>
      <c r="H26">
        <v>0</v>
      </c>
      <c r="I26" t="s">
        <v>10</v>
      </c>
      <c r="J26" s="7">
        <v>373.55</v>
      </c>
      <c r="K26" s="7">
        <v>460</v>
      </c>
      <c r="L26" s="7">
        <f t="shared" si="0"/>
        <v>86.449999999999989</v>
      </c>
      <c r="M26" s="8">
        <f t="shared" si="1"/>
        <v>0.18793478260869562</v>
      </c>
      <c r="N26" s="4" t="s">
        <v>234</v>
      </c>
    </row>
    <row r="27" spans="2:14" x14ac:dyDescent="0.25">
      <c r="B27" s="5" t="s">
        <v>168</v>
      </c>
      <c r="C27" s="5" t="s">
        <v>169</v>
      </c>
      <c r="D27">
        <v>5</v>
      </c>
      <c r="E27">
        <v>0</v>
      </c>
      <c r="F27">
        <v>0</v>
      </c>
      <c r="G27">
        <v>0</v>
      </c>
      <c r="H27">
        <v>0</v>
      </c>
      <c r="I27" t="s">
        <v>10</v>
      </c>
      <c r="J27" s="9">
        <v>355.77</v>
      </c>
      <c r="K27" s="9">
        <v>440</v>
      </c>
      <c r="L27" s="9">
        <f t="shared" si="0"/>
        <v>84.230000000000018</v>
      </c>
      <c r="M27" s="10">
        <f t="shared" si="1"/>
        <v>0.19143181818181823</v>
      </c>
      <c r="N27" s="5" t="s">
        <v>234</v>
      </c>
    </row>
    <row r="28" spans="2:14" x14ac:dyDescent="0.25">
      <c r="B28" s="4" t="s">
        <v>170</v>
      </c>
      <c r="C28" s="4" t="s">
        <v>171</v>
      </c>
      <c r="D28">
        <v>5</v>
      </c>
      <c r="E28">
        <v>0</v>
      </c>
      <c r="F28">
        <v>0</v>
      </c>
      <c r="G28">
        <v>0</v>
      </c>
      <c r="H28">
        <v>0</v>
      </c>
      <c r="I28" t="s">
        <v>10</v>
      </c>
      <c r="J28" s="7">
        <v>325.58</v>
      </c>
      <c r="K28" s="7">
        <v>420</v>
      </c>
      <c r="L28" s="7">
        <f t="shared" si="0"/>
        <v>94.420000000000016</v>
      </c>
      <c r="M28" s="8">
        <f t="shared" si="1"/>
        <v>0.22480952380952385</v>
      </c>
      <c r="N28" s="4" t="s">
        <v>234</v>
      </c>
    </row>
    <row r="29" spans="2:14" x14ac:dyDescent="0.25">
      <c r="B29" s="5" t="s">
        <v>172</v>
      </c>
      <c r="C29" s="5" t="s">
        <v>173</v>
      </c>
      <c r="D29">
        <v>5</v>
      </c>
      <c r="E29">
        <v>0</v>
      </c>
      <c r="F29">
        <v>0</v>
      </c>
      <c r="G29">
        <v>0</v>
      </c>
      <c r="H29">
        <v>0</v>
      </c>
      <c r="I29" t="s">
        <v>10</v>
      </c>
      <c r="J29" s="11">
        <v>422.11</v>
      </c>
      <c r="K29" s="9">
        <v>460</v>
      </c>
      <c r="L29" s="7">
        <f t="shared" si="0"/>
        <v>37.889999999999986</v>
      </c>
      <c r="M29" s="8">
        <f t="shared" si="1"/>
        <v>8.2369565217391277E-2</v>
      </c>
      <c r="N29" s="4" t="s">
        <v>234</v>
      </c>
    </row>
    <row r="30" spans="2:14" x14ac:dyDescent="0.25">
      <c r="B30" s="4" t="s">
        <v>174</v>
      </c>
      <c r="C30" s="4" t="s">
        <v>175</v>
      </c>
      <c r="D30">
        <v>5</v>
      </c>
      <c r="E30">
        <v>0</v>
      </c>
      <c r="F30">
        <v>0</v>
      </c>
      <c r="G30">
        <v>0</v>
      </c>
      <c r="H30">
        <v>0</v>
      </c>
      <c r="I30" t="s">
        <v>10</v>
      </c>
      <c r="J30" s="12">
        <v>395.02</v>
      </c>
      <c r="K30" s="7">
        <v>450</v>
      </c>
      <c r="L30" s="7">
        <f t="shared" si="0"/>
        <v>54.980000000000018</v>
      </c>
      <c r="M30" s="8">
        <f t="shared" si="1"/>
        <v>0.12217777777777782</v>
      </c>
      <c r="N30" s="4" t="s">
        <v>234</v>
      </c>
    </row>
    <row r="31" spans="2:14" x14ac:dyDescent="0.25">
      <c r="B31" s="5" t="s">
        <v>176</v>
      </c>
      <c r="C31" s="5" t="s">
        <v>177</v>
      </c>
      <c r="D31">
        <v>5</v>
      </c>
      <c r="E31">
        <v>0</v>
      </c>
      <c r="F31">
        <v>0</v>
      </c>
      <c r="G31">
        <v>0</v>
      </c>
      <c r="H31">
        <v>0</v>
      </c>
      <c r="I31" t="s">
        <v>10</v>
      </c>
      <c r="J31" s="11">
        <v>382.8</v>
      </c>
      <c r="K31" s="9">
        <v>440</v>
      </c>
      <c r="L31" s="7">
        <f t="shared" si="0"/>
        <v>57.199999999999989</v>
      </c>
      <c r="M31" s="8">
        <f t="shared" si="1"/>
        <v>0.12999999999999998</v>
      </c>
      <c r="N31" s="4" t="s">
        <v>234</v>
      </c>
    </row>
    <row r="32" spans="2:14" x14ac:dyDescent="0.25">
      <c r="B32" s="4" t="s">
        <v>178</v>
      </c>
      <c r="C32" s="4" t="s">
        <v>179</v>
      </c>
      <c r="D32">
        <v>5</v>
      </c>
      <c r="E32">
        <v>0</v>
      </c>
      <c r="F32">
        <v>0</v>
      </c>
      <c r="G32">
        <v>0</v>
      </c>
      <c r="H32">
        <v>0</v>
      </c>
      <c r="I32" t="s">
        <v>10</v>
      </c>
      <c r="J32" s="12">
        <v>369.09</v>
      </c>
      <c r="K32" s="7">
        <v>430</v>
      </c>
      <c r="L32" s="7">
        <f t="shared" si="0"/>
        <v>60.910000000000025</v>
      </c>
      <c r="M32" s="8">
        <f t="shared" si="1"/>
        <v>0.14165116279069773</v>
      </c>
      <c r="N32" s="4" t="s">
        <v>234</v>
      </c>
    </row>
    <row r="33" spans="2:14" x14ac:dyDescent="0.25">
      <c r="B33" s="5" t="s">
        <v>180</v>
      </c>
      <c r="C33" s="5" t="s">
        <v>181</v>
      </c>
      <c r="D33">
        <v>5</v>
      </c>
      <c r="E33">
        <v>0</v>
      </c>
      <c r="F33">
        <v>0</v>
      </c>
      <c r="G33">
        <v>0</v>
      </c>
      <c r="H33">
        <v>0</v>
      </c>
      <c r="I33" t="s">
        <v>10</v>
      </c>
      <c r="J33" s="11">
        <v>29.34</v>
      </c>
      <c r="K33" s="9">
        <v>35</v>
      </c>
      <c r="L33" s="7">
        <f t="shared" si="0"/>
        <v>5.66</v>
      </c>
      <c r="M33" s="8">
        <f t="shared" si="1"/>
        <v>0.16171428571428573</v>
      </c>
      <c r="N33" s="4" t="s">
        <v>234</v>
      </c>
    </row>
    <row r="34" spans="2:14" x14ac:dyDescent="0.25">
      <c r="B34" s="4" t="s">
        <v>182</v>
      </c>
      <c r="C34" s="4" t="s">
        <v>183</v>
      </c>
      <c r="D34">
        <v>5</v>
      </c>
      <c r="E34">
        <v>0</v>
      </c>
      <c r="F34">
        <v>0</v>
      </c>
      <c r="G34">
        <v>0</v>
      </c>
      <c r="H34">
        <v>0</v>
      </c>
      <c r="I34" t="s">
        <v>10</v>
      </c>
      <c r="J34" s="12">
        <v>29.34</v>
      </c>
      <c r="K34" s="7">
        <v>30</v>
      </c>
      <c r="L34" s="7">
        <f t="shared" si="0"/>
        <v>0.66000000000000014</v>
      </c>
      <c r="M34" s="8">
        <f t="shared" si="1"/>
        <v>2.2000000000000006E-2</v>
      </c>
      <c r="N34" s="4" t="s">
        <v>234</v>
      </c>
    </row>
    <row r="35" spans="2:14" x14ac:dyDescent="0.25">
      <c r="B35" s="5" t="s">
        <v>184</v>
      </c>
      <c r="C35" s="5" t="s">
        <v>185</v>
      </c>
      <c r="D35">
        <v>5</v>
      </c>
      <c r="E35">
        <v>0</v>
      </c>
      <c r="F35">
        <v>0</v>
      </c>
      <c r="G35">
        <v>0</v>
      </c>
      <c r="H35">
        <v>0</v>
      </c>
      <c r="I35" t="s">
        <v>10</v>
      </c>
      <c r="J35" s="11">
        <v>474.06</v>
      </c>
      <c r="K35" s="9">
        <v>495</v>
      </c>
      <c r="L35" s="7">
        <f t="shared" si="0"/>
        <v>20.939999999999998</v>
      </c>
      <c r="M35" s="8">
        <f t="shared" si="1"/>
        <v>4.2303030303030301E-2</v>
      </c>
      <c r="N35" s="4" t="s">
        <v>234</v>
      </c>
    </row>
    <row r="36" spans="2:14" x14ac:dyDescent="0.25">
      <c r="B36" s="4" t="s">
        <v>186</v>
      </c>
      <c r="C36" s="4" t="s">
        <v>185</v>
      </c>
      <c r="D36">
        <v>5</v>
      </c>
      <c r="E36">
        <v>0</v>
      </c>
      <c r="F36">
        <v>0</v>
      </c>
      <c r="G36">
        <v>0</v>
      </c>
      <c r="H36">
        <v>0</v>
      </c>
      <c r="I36" t="s">
        <v>10</v>
      </c>
      <c r="J36" s="12">
        <v>406.09</v>
      </c>
      <c r="K36" s="7">
        <v>425</v>
      </c>
      <c r="L36" s="7">
        <f t="shared" si="0"/>
        <v>18.910000000000025</v>
      </c>
      <c r="M36" s="8">
        <f t="shared" si="1"/>
        <v>4.4494117647058885E-2</v>
      </c>
      <c r="N36" s="4" t="s">
        <v>234</v>
      </c>
    </row>
    <row r="37" spans="2:14" x14ac:dyDescent="0.25">
      <c r="B37" s="5" t="s">
        <v>187</v>
      </c>
      <c r="C37" s="5" t="s">
        <v>185</v>
      </c>
      <c r="D37">
        <v>5</v>
      </c>
      <c r="E37">
        <v>0</v>
      </c>
      <c r="F37">
        <v>0</v>
      </c>
      <c r="G37">
        <v>0</v>
      </c>
      <c r="H37">
        <v>0</v>
      </c>
      <c r="I37" t="s">
        <v>10</v>
      </c>
      <c r="J37" s="11">
        <v>71.260000000000005</v>
      </c>
      <c r="K37" s="9">
        <v>75</v>
      </c>
      <c r="L37" s="7">
        <f t="shared" si="0"/>
        <v>3.7399999999999949</v>
      </c>
      <c r="M37" s="8">
        <f t="shared" si="1"/>
        <v>4.9866666666666601E-2</v>
      </c>
      <c r="N37" s="4" t="s">
        <v>234</v>
      </c>
    </row>
    <row r="38" spans="2:14" x14ac:dyDescent="0.25">
      <c r="B38" s="4" t="s">
        <v>188</v>
      </c>
      <c r="C38" s="4" t="s">
        <v>185</v>
      </c>
      <c r="D38">
        <v>5</v>
      </c>
      <c r="E38">
        <v>0</v>
      </c>
      <c r="F38">
        <v>0</v>
      </c>
      <c r="G38">
        <v>0</v>
      </c>
      <c r="H38">
        <v>0</v>
      </c>
      <c r="I38" t="s">
        <v>10</v>
      </c>
      <c r="J38" s="12">
        <v>370.51</v>
      </c>
      <c r="K38" s="7">
        <v>390</v>
      </c>
      <c r="L38" s="7">
        <f t="shared" si="0"/>
        <v>19.490000000000009</v>
      </c>
      <c r="M38" s="8">
        <f t="shared" si="1"/>
        <v>4.9974358974359E-2</v>
      </c>
      <c r="N38" s="4" t="s">
        <v>234</v>
      </c>
    </row>
    <row r="39" spans="2:14" x14ac:dyDescent="0.25">
      <c r="B39" s="4" t="s">
        <v>189</v>
      </c>
      <c r="C39" s="4" t="s">
        <v>185</v>
      </c>
      <c r="D39">
        <v>5</v>
      </c>
      <c r="E39">
        <v>0</v>
      </c>
      <c r="F39">
        <v>0</v>
      </c>
      <c r="G39">
        <v>0</v>
      </c>
      <c r="H39">
        <v>0</v>
      </c>
      <c r="I39" t="s">
        <v>10</v>
      </c>
      <c r="J39" s="7">
        <v>62.71</v>
      </c>
      <c r="K39" s="7">
        <v>65</v>
      </c>
      <c r="L39" s="7">
        <f t="shared" si="0"/>
        <v>2.2899999999999991</v>
      </c>
      <c r="M39" s="8">
        <f t="shared" si="1"/>
        <v>3.5230769230769218E-2</v>
      </c>
      <c r="N39" s="4" t="s">
        <v>234</v>
      </c>
    </row>
    <row r="40" spans="2:14" x14ac:dyDescent="0.25">
      <c r="B40" s="4" t="s">
        <v>190</v>
      </c>
      <c r="C40" s="4" t="s">
        <v>185</v>
      </c>
      <c r="D40">
        <v>5</v>
      </c>
      <c r="E40">
        <v>0</v>
      </c>
      <c r="F40">
        <v>0</v>
      </c>
      <c r="G40">
        <v>0</v>
      </c>
      <c r="H40">
        <v>0</v>
      </c>
      <c r="I40" t="s">
        <v>10</v>
      </c>
      <c r="J40" s="7">
        <v>193.32</v>
      </c>
      <c r="K40" s="7">
        <v>200</v>
      </c>
      <c r="L40" s="7">
        <f t="shared" si="0"/>
        <v>6.6800000000000068</v>
      </c>
      <c r="M40" s="8">
        <f t="shared" si="1"/>
        <v>3.3400000000000034E-2</v>
      </c>
      <c r="N40" s="4" t="s">
        <v>234</v>
      </c>
    </row>
    <row r="41" spans="2:14" x14ac:dyDescent="0.25">
      <c r="B41" s="4" t="s">
        <v>191</v>
      </c>
      <c r="C41" s="4" t="s">
        <v>185</v>
      </c>
      <c r="D41">
        <v>5</v>
      </c>
      <c r="E41">
        <v>0</v>
      </c>
      <c r="F41">
        <v>0</v>
      </c>
      <c r="G41">
        <v>0</v>
      </c>
      <c r="H41">
        <v>0</v>
      </c>
      <c r="I41" t="s">
        <v>10</v>
      </c>
      <c r="J41" s="7">
        <v>77.92</v>
      </c>
      <c r="K41" s="7">
        <v>80</v>
      </c>
      <c r="L41" s="7">
        <f t="shared" si="0"/>
        <v>2.0799999999999983</v>
      </c>
      <c r="M41" s="8">
        <f t="shared" si="1"/>
        <v>2.5999999999999978E-2</v>
      </c>
      <c r="N41" s="4" t="s">
        <v>234</v>
      </c>
    </row>
    <row r="42" spans="2:14" x14ac:dyDescent="0.25">
      <c r="B42" s="4" t="s">
        <v>192</v>
      </c>
      <c r="C42" s="4" t="s">
        <v>185</v>
      </c>
      <c r="D42">
        <v>5</v>
      </c>
      <c r="E42">
        <v>0</v>
      </c>
      <c r="F42">
        <v>0</v>
      </c>
      <c r="G42">
        <v>0</v>
      </c>
      <c r="H42">
        <v>0</v>
      </c>
      <c r="I42" t="s">
        <v>10</v>
      </c>
      <c r="J42" s="7">
        <v>133.02000000000001</v>
      </c>
      <c r="K42" s="7">
        <v>140</v>
      </c>
      <c r="L42" s="7">
        <f t="shared" si="0"/>
        <v>6.9799999999999898</v>
      </c>
      <c r="M42" s="8">
        <f t="shared" si="1"/>
        <v>4.9857142857142787E-2</v>
      </c>
      <c r="N42" s="4" t="s">
        <v>234</v>
      </c>
    </row>
    <row r="43" spans="2:14" x14ac:dyDescent="0.25">
      <c r="B43" s="4" t="s">
        <v>193</v>
      </c>
      <c r="C43" s="4" t="s">
        <v>185</v>
      </c>
      <c r="D43">
        <v>5</v>
      </c>
      <c r="E43">
        <v>0</v>
      </c>
      <c r="F43">
        <v>0</v>
      </c>
      <c r="G43">
        <v>0</v>
      </c>
      <c r="H43">
        <v>0</v>
      </c>
      <c r="I43" t="s">
        <v>10</v>
      </c>
      <c r="J43" s="7">
        <v>38.01</v>
      </c>
      <c r="K43" s="7">
        <v>40</v>
      </c>
      <c r="L43" s="7">
        <f t="shared" si="0"/>
        <v>1.990000000000002</v>
      </c>
      <c r="M43" s="8">
        <f t="shared" si="1"/>
        <v>4.9750000000000051E-2</v>
      </c>
      <c r="N43" s="4" t="s">
        <v>234</v>
      </c>
    </row>
    <row r="44" spans="2:14" x14ac:dyDescent="0.25">
      <c r="B44" s="4" t="s">
        <v>194</v>
      </c>
      <c r="C44" s="4" t="s">
        <v>185</v>
      </c>
      <c r="D44">
        <v>5</v>
      </c>
      <c r="E44">
        <v>0</v>
      </c>
      <c r="F44">
        <v>0</v>
      </c>
      <c r="G44">
        <v>0</v>
      </c>
      <c r="H44">
        <v>0</v>
      </c>
      <c r="I44" t="s">
        <v>10</v>
      </c>
      <c r="J44" s="7">
        <v>660.26</v>
      </c>
      <c r="K44" s="7">
        <v>695</v>
      </c>
      <c r="L44" s="7">
        <f t="shared" si="0"/>
        <v>34.740000000000009</v>
      </c>
      <c r="M44" s="8">
        <f t="shared" si="1"/>
        <v>4.9985611510791381E-2</v>
      </c>
      <c r="N44" s="4" t="s">
        <v>234</v>
      </c>
    </row>
    <row r="45" spans="2:14" x14ac:dyDescent="0.25">
      <c r="B45" s="4" t="s">
        <v>195</v>
      </c>
      <c r="C45" s="4" t="s">
        <v>185</v>
      </c>
      <c r="D45">
        <v>5</v>
      </c>
      <c r="E45">
        <v>0</v>
      </c>
      <c r="F45">
        <v>0</v>
      </c>
      <c r="G45">
        <v>0</v>
      </c>
      <c r="H45">
        <v>0</v>
      </c>
      <c r="I45" t="s">
        <v>10</v>
      </c>
      <c r="J45" s="7">
        <v>2373.11</v>
      </c>
      <c r="K45" s="7">
        <v>2498</v>
      </c>
      <c r="L45" s="7">
        <f t="shared" si="0"/>
        <v>124.88999999999987</v>
      </c>
      <c r="M45" s="8">
        <f t="shared" si="1"/>
        <v>4.9995996797437901E-2</v>
      </c>
      <c r="N45" s="4" t="s">
        <v>234</v>
      </c>
    </row>
    <row r="46" spans="2:14" x14ac:dyDescent="0.25">
      <c r="B46" s="4" t="s">
        <v>196</v>
      </c>
      <c r="C46" s="4" t="s">
        <v>185</v>
      </c>
      <c r="D46">
        <v>5</v>
      </c>
      <c r="E46">
        <v>0</v>
      </c>
      <c r="F46">
        <v>0</v>
      </c>
      <c r="G46">
        <v>0</v>
      </c>
      <c r="H46">
        <v>0</v>
      </c>
      <c r="I46" t="s">
        <v>10</v>
      </c>
      <c r="J46" s="7">
        <v>418</v>
      </c>
      <c r="K46" s="7">
        <v>440</v>
      </c>
      <c r="L46" s="7">
        <f t="shared" si="0"/>
        <v>22</v>
      </c>
      <c r="M46" s="8">
        <f t="shared" si="1"/>
        <v>0.05</v>
      </c>
      <c r="N46" s="4" t="s">
        <v>234</v>
      </c>
    </row>
    <row r="47" spans="2:14" x14ac:dyDescent="0.25">
      <c r="B47" s="4" t="s">
        <v>197</v>
      </c>
      <c r="C47" s="4" t="s">
        <v>185</v>
      </c>
      <c r="D47">
        <v>5</v>
      </c>
      <c r="E47">
        <v>0</v>
      </c>
      <c r="F47">
        <v>0</v>
      </c>
      <c r="G47">
        <v>0</v>
      </c>
      <c r="H47">
        <v>0</v>
      </c>
      <c r="I47" t="s">
        <v>10</v>
      </c>
      <c r="J47" s="7">
        <v>74.81</v>
      </c>
      <c r="K47" s="7">
        <v>90</v>
      </c>
      <c r="L47" s="7">
        <f t="shared" si="0"/>
        <v>15.189999999999998</v>
      </c>
      <c r="M47" s="8">
        <f t="shared" si="1"/>
        <v>0.16877777777777775</v>
      </c>
      <c r="N47" s="4" t="s">
        <v>234</v>
      </c>
    </row>
    <row r="48" spans="2:14" x14ac:dyDescent="0.25">
      <c r="B48" s="4" t="s">
        <v>198</v>
      </c>
      <c r="C48" s="4" t="s">
        <v>185</v>
      </c>
      <c r="D48">
        <v>5</v>
      </c>
      <c r="E48">
        <v>0</v>
      </c>
      <c r="F48">
        <v>0</v>
      </c>
      <c r="G48">
        <v>0</v>
      </c>
      <c r="H48">
        <v>0</v>
      </c>
      <c r="I48" t="s">
        <v>10</v>
      </c>
      <c r="J48" s="7">
        <v>3452.64</v>
      </c>
      <c r="K48" s="7">
        <v>3999</v>
      </c>
      <c r="L48" s="7">
        <f t="shared" si="0"/>
        <v>546.36000000000013</v>
      </c>
      <c r="M48" s="8">
        <f t="shared" si="1"/>
        <v>0.13662415603900979</v>
      </c>
      <c r="N48" s="4" t="s">
        <v>234</v>
      </c>
    </row>
    <row r="49" spans="2:14" x14ac:dyDescent="0.25">
      <c r="B49" s="5" t="s">
        <v>199</v>
      </c>
      <c r="C49" s="5" t="s">
        <v>185</v>
      </c>
      <c r="D49">
        <v>5</v>
      </c>
      <c r="E49">
        <v>0</v>
      </c>
      <c r="F49">
        <v>0</v>
      </c>
      <c r="G49">
        <v>0</v>
      </c>
      <c r="H49">
        <v>0</v>
      </c>
      <c r="I49" t="s">
        <v>10</v>
      </c>
      <c r="J49" s="11">
        <v>421.06</v>
      </c>
      <c r="K49" s="9">
        <v>500</v>
      </c>
      <c r="L49" s="9">
        <f t="shared" si="0"/>
        <v>78.94</v>
      </c>
      <c r="M49" s="10">
        <f t="shared" si="1"/>
        <v>0.15787999999999999</v>
      </c>
      <c r="N49" s="5" t="s">
        <v>234</v>
      </c>
    </row>
    <row r="50" spans="2:14" x14ac:dyDescent="0.25">
      <c r="B50" s="4" t="s">
        <v>200</v>
      </c>
      <c r="C50" s="4" t="s">
        <v>181</v>
      </c>
      <c r="D50">
        <v>5</v>
      </c>
      <c r="E50">
        <v>0</v>
      </c>
      <c r="F50">
        <v>0</v>
      </c>
      <c r="G50">
        <v>0</v>
      </c>
      <c r="H50">
        <v>0</v>
      </c>
      <c r="I50" t="s">
        <v>10</v>
      </c>
      <c r="J50" s="12">
        <v>182.7</v>
      </c>
      <c r="K50" s="7">
        <v>205</v>
      </c>
      <c r="L50" s="7">
        <f t="shared" si="0"/>
        <v>22.300000000000011</v>
      </c>
      <c r="M50" s="8">
        <f t="shared" si="1"/>
        <v>0.1087804878048781</v>
      </c>
      <c r="N50" s="4" t="s">
        <v>234</v>
      </c>
    </row>
    <row r="51" spans="2:14" x14ac:dyDescent="0.25">
      <c r="B51" s="5" t="s">
        <v>201</v>
      </c>
      <c r="C51" s="5" t="s">
        <v>183</v>
      </c>
      <c r="D51">
        <v>5</v>
      </c>
      <c r="E51">
        <v>0</v>
      </c>
      <c r="F51">
        <v>0</v>
      </c>
      <c r="G51">
        <v>0</v>
      </c>
      <c r="H51">
        <v>0</v>
      </c>
      <c r="I51" t="s">
        <v>10</v>
      </c>
      <c r="J51" s="11">
        <v>182.7</v>
      </c>
      <c r="K51" s="9">
        <v>200</v>
      </c>
      <c r="L51" s="7">
        <f t="shared" si="0"/>
        <v>17.300000000000011</v>
      </c>
      <c r="M51" s="8">
        <f t="shared" si="1"/>
        <v>8.6500000000000063E-2</v>
      </c>
      <c r="N51" s="4"/>
    </row>
    <row r="52" spans="2:14" x14ac:dyDescent="0.25">
      <c r="B52" s="4" t="s">
        <v>202</v>
      </c>
      <c r="C52" s="4" t="s">
        <v>181</v>
      </c>
      <c r="D52">
        <v>5</v>
      </c>
      <c r="E52">
        <v>0</v>
      </c>
      <c r="F52">
        <v>0</v>
      </c>
      <c r="G52">
        <v>0</v>
      </c>
      <c r="H52">
        <v>0</v>
      </c>
      <c r="I52" t="s">
        <v>10</v>
      </c>
      <c r="J52" s="12">
        <v>214.5</v>
      </c>
      <c r="K52" s="7">
        <v>235</v>
      </c>
      <c r="L52" s="7">
        <f t="shared" si="0"/>
        <v>20.5</v>
      </c>
      <c r="M52" s="8">
        <f t="shared" si="1"/>
        <v>8.723404255319149E-2</v>
      </c>
      <c r="N52" s="4"/>
    </row>
    <row r="53" spans="2:14" x14ac:dyDescent="0.25">
      <c r="B53" s="5" t="s">
        <v>203</v>
      </c>
      <c r="C53" s="5" t="s">
        <v>183</v>
      </c>
      <c r="D53">
        <v>5</v>
      </c>
      <c r="E53">
        <v>0</v>
      </c>
      <c r="F53">
        <v>0</v>
      </c>
      <c r="G53">
        <v>0</v>
      </c>
      <c r="H53">
        <v>0</v>
      </c>
      <c r="I53" t="s">
        <v>10</v>
      </c>
      <c r="J53" s="11">
        <v>214.5</v>
      </c>
      <c r="K53" s="9">
        <v>230</v>
      </c>
      <c r="L53" s="7">
        <f t="shared" si="0"/>
        <v>15.5</v>
      </c>
      <c r="M53" s="8">
        <f t="shared" si="1"/>
        <v>6.7391304347826086E-2</v>
      </c>
      <c r="N53" s="4"/>
    </row>
    <row r="54" spans="2:14" x14ac:dyDescent="0.25">
      <c r="B54" s="4" t="s">
        <v>204</v>
      </c>
      <c r="C54" s="4" t="s">
        <v>205</v>
      </c>
      <c r="D54">
        <v>5</v>
      </c>
      <c r="E54">
        <v>0</v>
      </c>
      <c r="F54">
        <v>0</v>
      </c>
      <c r="G54">
        <v>0</v>
      </c>
      <c r="H54">
        <v>0</v>
      </c>
      <c r="I54" t="s">
        <v>10</v>
      </c>
      <c r="J54" s="12">
        <v>19.55</v>
      </c>
      <c r="K54" s="7">
        <v>25</v>
      </c>
      <c r="L54" s="7">
        <f t="shared" si="0"/>
        <v>5.4499999999999993</v>
      </c>
      <c r="M54" s="8">
        <f t="shared" si="1"/>
        <v>0.21799999999999997</v>
      </c>
      <c r="N54" s="4"/>
    </row>
    <row r="55" spans="2:14" x14ac:dyDescent="0.25">
      <c r="B55" s="5" t="s">
        <v>206</v>
      </c>
      <c r="C55" s="5" t="s">
        <v>207</v>
      </c>
      <c r="D55">
        <v>5</v>
      </c>
      <c r="E55">
        <v>0</v>
      </c>
      <c r="F55">
        <v>0</v>
      </c>
      <c r="G55">
        <v>0</v>
      </c>
      <c r="H55">
        <v>0</v>
      </c>
      <c r="I55" t="s">
        <v>10</v>
      </c>
      <c r="J55" s="11">
        <v>53.77</v>
      </c>
      <c r="K55" s="9">
        <v>65</v>
      </c>
      <c r="L55" s="7">
        <f t="shared" si="0"/>
        <v>11.229999999999997</v>
      </c>
      <c r="M55" s="8">
        <f t="shared" si="1"/>
        <v>0.17276923076923073</v>
      </c>
      <c r="N55" s="4"/>
    </row>
    <row r="56" spans="2:14" x14ac:dyDescent="0.25">
      <c r="B56" s="4" t="s">
        <v>208</v>
      </c>
      <c r="C56" s="4" t="s">
        <v>209</v>
      </c>
      <c r="D56">
        <v>5</v>
      </c>
      <c r="E56">
        <v>0</v>
      </c>
      <c r="F56">
        <v>0</v>
      </c>
      <c r="G56">
        <v>0</v>
      </c>
      <c r="H56">
        <v>0</v>
      </c>
      <c r="I56" t="s">
        <v>10</v>
      </c>
      <c r="J56" s="12">
        <v>91.91</v>
      </c>
      <c r="K56" s="7">
        <v>110</v>
      </c>
      <c r="L56" s="7">
        <f t="shared" si="0"/>
        <v>18.090000000000003</v>
      </c>
      <c r="M56" s="8">
        <f t="shared" si="1"/>
        <v>0.16445454545454549</v>
      </c>
      <c r="N56" s="4"/>
    </row>
    <row r="57" spans="2:14" x14ac:dyDescent="0.25">
      <c r="B57" s="5" t="s">
        <v>210</v>
      </c>
      <c r="C57" s="5" t="s">
        <v>211</v>
      </c>
      <c r="D57">
        <v>5</v>
      </c>
      <c r="E57">
        <v>0</v>
      </c>
      <c r="F57">
        <v>0</v>
      </c>
      <c r="G57">
        <v>0</v>
      </c>
      <c r="H57">
        <v>0</v>
      </c>
      <c r="I57" t="s">
        <v>10</v>
      </c>
      <c r="J57" s="11">
        <v>161.33000000000001</v>
      </c>
      <c r="K57" s="9">
        <v>190</v>
      </c>
      <c r="L57" s="7">
        <f t="shared" si="0"/>
        <v>28.669999999999987</v>
      </c>
      <c r="M57" s="8">
        <f t="shared" si="1"/>
        <v>0.15089473684210519</v>
      </c>
      <c r="N57" s="4"/>
    </row>
    <row r="58" spans="2:14" x14ac:dyDescent="0.25">
      <c r="B58" s="4" t="s">
        <v>212</v>
      </c>
      <c r="C58" s="4" t="s">
        <v>213</v>
      </c>
      <c r="D58">
        <v>5</v>
      </c>
      <c r="E58">
        <v>0</v>
      </c>
      <c r="F58">
        <v>0</v>
      </c>
      <c r="G58">
        <v>0</v>
      </c>
      <c r="H58">
        <v>0</v>
      </c>
      <c r="I58" t="s">
        <v>10</v>
      </c>
      <c r="J58" s="12">
        <v>248.12</v>
      </c>
      <c r="K58" s="7">
        <v>320</v>
      </c>
      <c r="L58" s="7">
        <f t="shared" si="0"/>
        <v>71.88</v>
      </c>
      <c r="M58" s="8">
        <f t="shared" si="1"/>
        <v>0.22462499999999999</v>
      </c>
      <c r="N58" s="4"/>
    </row>
    <row r="59" spans="2:14" x14ac:dyDescent="0.25">
      <c r="B59" s="4" t="s">
        <v>214</v>
      </c>
      <c r="C59" s="4" t="s">
        <v>141</v>
      </c>
      <c r="D59">
        <v>5</v>
      </c>
      <c r="E59">
        <v>0</v>
      </c>
      <c r="F59">
        <v>0</v>
      </c>
      <c r="G59">
        <v>0</v>
      </c>
      <c r="H59">
        <v>0</v>
      </c>
      <c r="I59" t="s">
        <v>10</v>
      </c>
      <c r="J59" s="12">
        <v>427.79</v>
      </c>
      <c r="K59" s="7">
        <v>550</v>
      </c>
      <c r="L59" s="7">
        <f t="shared" si="0"/>
        <v>122.20999999999998</v>
      </c>
      <c r="M59" s="8">
        <f t="shared" si="1"/>
        <v>0.22219999999999995</v>
      </c>
      <c r="N59" s="4"/>
    </row>
    <row r="60" spans="2:14" x14ac:dyDescent="0.25">
      <c r="B60" s="4" t="s">
        <v>215</v>
      </c>
      <c r="C60" s="4" t="s">
        <v>216</v>
      </c>
      <c r="D60">
        <v>5</v>
      </c>
      <c r="E60">
        <v>0</v>
      </c>
      <c r="F60">
        <v>0</v>
      </c>
      <c r="G60">
        <v>0</v>
      </c>
      <c r="H60">
        <v>0</v>
      </c>
      <c r="I60" t="s">
        <v>10</v>
      </c>
      <c r="J60" s="12">
        <v>66.64</v>
      </c>
      <c r="K60" s="7">
        <v>80</v>
      </c>
      <c r="L60" s="7">
        <f t="shared" si="0"/>
        <v>13.36</v>
      </c>
      <c r="M60" s="8">
        <f t="shared" si="1"/>
        <v>0.16699999999999998</v>
      </c>
      <c r="N60" s="4"/>
    </row>
    <row r="61" spans="2:14" x14ac:dyDescent="0.25">
      <c r="B61" s="4" t="s">
        <v>217</v>
      </c>
      <c r="C61" s="4" t="s">
        <v>218</v>
      </c>
      <c r="D61">
        <v>5</v>
      </c>
      <c r="E61">
        <v>0</v>
      </c>
      <c r="F61">
        <v>0</v>
      </c>
      <c r="G61">
        <v>0</v>
      </c>
      <c r="H61">
        <v>0</v>
      </c>
      <c r="I61" t="s">
        <v>10</v>
      </c>
      <c r="J61" s="12">
        <v>99.25</v>
      </c>
      <c r="K61" s="7">
        <v>120</v>
      </c>
      <c r="L61" s="7">
        <f t="shared" si="0"/>
        <v>20.75</v>
      </c>
      <c r="M61" s="8">
        <f t="shared" si="1"/>
        <v>0.17291666666666666</v>
      </c>
      <c r="N61" s="4"/>
    </row>
    <row r="62" spans="2:14" x14ac:dyDescent="0.25">
      <c r="B62" s="4" t="s">
        <v>219</v>
      </c>
      <c r="C62" s="4" t="s">
        <v>220</v>
      </c>
      <c r="D62">
        <v>5</v>
      </c>
      <c r="E62">
        <v>0</v>
      </c>
      <c r="F62">
        <v>0</v>
      </c>
      <c r="G62">
        <v>0</v>
      </c>
      <c r="H62">
        <v>0</v>
      </c>
      <c r="I62" t="s">
        <v>10</v>
      </c>
      <c r="J62" s="12">
        <v>231.76</v>
      </c>
      <c r="K62" s="7">
        <v>280</v>
      </c>
      <c r="L62" s="7">
        <f t="shared" si="0"/>
        <v>48.240000000000009</v>
      </c>
      <c r="M62" s="8">
        <f t="shared" si="1"/>
        <v>0.17228571428571432</v>
      </c>
      <c r="N62" s="4"/>
    </row>
    <row r="63" spans="2:14" x14ac:dyDescent="0.25">
      <c r="B63" s="4" t="s">
        <v>221</v>
      </c>
      <c r="C63" s="4" t="s">
        <v>222</v>
      </c>
      <c r="D63">
        <v>5</v>
      </c>
      <c r="E63">
        <v>0</v>
      </c>
      <c r="F63">
        <v>0</v>
      </c>
      <c r="G63">
        <v>0</v>
      </c>
      <c r="H63">
        <v>0</v>
      </c>
      <c r="I63" t="s">
        <v>10</v>
      </c>
      <c r="J63" s="12">
        <v>444.35</v>
      </c>
      <c r="K63" s="7">
        <v>540</v>
      </c>
      <c r="L63" s="7">
        <f t="shared" si="0"/>
        <v>95.649999999999977</v>
      </c>
      <c r="M63" s="8">
        <f t="shared" si="1"/>
        <v>0.17712962962962958</v>
      </c>
      <c r="N63" s="4"/>
    </row>
    <row r="64" spans="2:14" x14ac:dyDescent="0.25">
      <c r="B64" s="4" t="s">
        <v>223</v>
      </c>
      <c r="C64" s="4" t="s">
        <v>224</v>
      </c>
      <c r="D64">
        <v>5</v>
      </c>
      <c r="E64">
        <v>0</v>
      </c>
      <c r="F64">
        <v>0</v>
      </c>
      <c r="G64">
        <v>0</v>
      </c>
      <c r="H64">
        <v>0</v>
      </c>
      <c r="I64" t="s">
        <v>10</v>
      </c>
      <c r="J64" s="12">
        <v>666.13</v>
      </c>
      <c r="K64" s="7">
        <v>860</v>
      </c>
      <c r="L64" s="7">
        <f t="shared" si="0"/>
        <v>193.87</v>
      </c>
      <c r="M64" s="8">
        <f t="shared" si="1"/>
        <v>0.22543023255813954</v>
      </c>
      <c r="N64" s="4"/>
    </row>
    <row r="65" spans="2:14" x14ac:dyDescent="0.25">
      <c r="B65" s="4" t="s">
        <v>225</v>
      </c>
      <c r="C65" s="4" t="s">
        <v>226</v>
      </c>
      <c r="D65">
        <v>5</v>
      </c>
      <c r="E65">
        <v>0</v>
      </c>
      <c r="F65">
        <v>0</v>
      </c>
      <c r="G65">
        <v>0</v>
      </c>
      <c r="H65">
        <v>0</v>
      </c>
      <c r="I65" t="s">
        <v>10</v>
      </c>
      <c r="J65" s="12">
        <v>93.87</v>
      </c>
      <c r="K65" s="7">
        <v>106</v>
      </c>
      <c r="L65" s="7">
        <f t="shared" si="0"/>
        <v>12.129999999999995</v>
      </c>
      <c r="M65" s="8">
        <f t="shared" si="1"/>
        <v>0.1144339622641509</v>
      </c>
      <c r="N65" s="4"/>
    </row>
    <row r="66" spans="2:14" x14ac:dyDescent="0.25">
      <c r="B66" s="4" t="s">
        <v>227</v>
      </c>
      <c r="C66" s="4" t="s">
        <v>228</v>
      </c>
      <c r="D66">
        <v>5</v>
      </c>
      <c r="E66">
        <v>0</v>
      </c>
      <c r="F66">
        <v>0</v>
      </c>
      <c r="G66">
        <v>0</v>
      </c>
      <c r="H66">
        <v>0</v>
      </c>
      <c r="I66" t="s">
        <v>10</v>
      </c>
      <c r="J66" s="12">
        <v>279.27</v>
      </c>
      <c r="K66" s="7">
        <v>312</v>
      </c>
      <c r="L66" s="7">
        <f t="shared" si="0"/>
        <v>32.730000000000018</v>
      </c>
      <c r="M66" s="8">
        <f t="shared" si="1"/>
        <v>0.10490384615384621</v>
      </c>
      <c r="N66" s="4"/>
    </row>
    <row r="67" spans="2:14" x14ac:dyDescent="0.25">
      <c r="B67" s="4" t="s">
        <v>229</v>
      </c>
      <c r="C67" s="4" t="s">
        <v>230</v>
      </c>
      <c r="D67">
        <v>5</v>
      </c>
      <c r="E67">
        <v>0</v>
      </c>
      <c r="F67">
        <v>0</v>
      </c>
      <c r="G67">
        <v>0</v>
      </c>
      <c r="H67">
        <v>0</v>
      </c>
      <c r="I67" t="s">
        <v>10</v>
      </c>
      <c r="J67" s="12">
        <v>413.56</v>
      </c>
      <c r="K67" s="7">
        <v>466</v>
      </c>
      <c r="L67" s="7">
        <f t="shared" ref="L67:L72" si="2">IF(OR(J67="",K67=""),"",K67-J67)</f>
        <v>52.44</v>
      </c>
      <c r="M67" s="8">
        <f t="shared" ref="M67:M72" si="3">IFERROR(L67/K67,"")</f>
        <v>0.11253218884120171</v>
      </c>
      <c r="N67" s="4"/>
    </row>
    <row r="68" spans="2:14" x14ac:dyDescent="0.25">
      <c r="B68" s="4" t="s">
        <v>231</v>
      </c>
      <c r="C68" s="4" t="s">
        <v>218</v>
      </c>
      <c r="D68">
        <v>5</v>
      </c>
      <c r="E68">
        <v>0</v>
      </c>
      <c r="F68">
        <v>0</v>
      </c>
      <c r="G68">
        <v>0</v>
      </c>
      <c r="H68">
        <v>0</v>
      </c>
      <c r="I68" t="s">
        <v>10</v>
      </c>
      <c r="J68" s="12">
        <v>747.41</v>
      </c>
      <c r="K68" s="7">
        <v>844</v>
      </c>
      <c r="L68" s="7">
        <f t="shared" si="2"/>
        <v>96.590000000000032</v>
      </c>
      <c r="M68" s="8">
        <f t="shared" si="3"/>
        <v>0.11444312796208535</v>
      </c>
      <c r="N68" s="4"/>
    </row>
    <row r="69" spans="2:14" x14ac:dyDescent="0.25">
      <c r="B69" s="4" t="s">
        <v>232</v>
      </c>
      <c r="C69" s="4" t="s">
        <v>233</v>
      </c>
      <c r="D69">
        <v>5</v>
      </c>
      <c r="E69">
        <v>0</v>
      </c>
      <c r="F69">
        <v>0</v>
      </c>
      <c r="G69">
        <v>0</v>
      </c>
      <c r="H69">
        <v>0</v>
      </c>
      <c r="I69" t="s">
        <v>10</v>
      </c>
      <c r="J69" s="12">
        <v>1323.21</v>
      </c>
      <c r="K69" s="7">
        <v>1504</v>
      </c>
      <c r="L69" s="7">
        <f t="shared" si="2"/>
        <v>180.78999999999996</v>
      </c>
      <c r="M69" s="8">
        <f t="shared" si="3"/>
        <v>0.12020611702127657</v>
      </c>
      <c r="N69" s="4"/>
    </row>
    <row r="70" spans="2:14" x14ac:dyDescent="0.25">
      <c r="B70" t="s">
        <v>240</v>
      </c>
      <c r="C70" t="s">
        <v>239</v>
      </c>
      <c r="D70">
        <v>5</v>
      </c>
      <c r="E70">
        <v>0</v>
      </c>
      <c r="F70">
        <v>0</v>
      </c>
      <c r="G70">
        <v>0</v>
      </c>
      <c r="H70">
        <v>0</v>
      </c>
      <c r="I70" t="s">
        <v>10</v>
      </c>
      <c r="J70" s="13">
        <v>397.99</v>
      </c>
      <c r="K70" s="13">
        <v>400</v>
      </c>
      <c r="L70" s="7">
        <f t="shared" si="2"/>
        <v>2.0099999999999909</v>
      </c>
      <c r="M70" s="8">
        <f t="shared" si="3"/>
        <v>5.0249999999999774E-3</v>
      </c>
    </row>
    <row r="71" spans="2:14" x14ac:dyDescent="0.25">
      <c r="B71" t="s">
        <v>241</v>
      </c>
      <c r="C71" t="s">
        <v>238</v>
      </c>
      <c r="D71">
        <v>5</v>
      </c>
      <c r="E71">
        <v>0</v>
      </c>
      <c r="F71">
        <v>0</v>
      </c>
      <c r="G71">
        <v>0</v>
      </c>
      <c r="H71">
        <v>0</v>
      </c>
      <c r="I71" t="s">
        <v>10</v>
      </c>
      <c r="J71" s="13">
        <v>292.7</v>
      </c>
      <c r="K71" s="13">
        <v>380</v>
      </c>
      <c r="L71" s="7">
        <f t="shared" si="2"/>
        <v>87.300000000000011</v>
      </c>
      <c r="M71" s="8">
        <f t="shared" si="3"/>
        <v>0.22973684210526318</v>
      </c>
    </row>
    <row r="72" spans="2:14" x14ac:dyDescent="0.25">
      <c r="B72" t="s">
        <v>242</v>
      </c>
      <c r="C72" t="s">
        <v>237</v>
      </c>
      <c r="D72">
        <v>5</v>
      </c>
      <c r="E72">
        <v>0</v>
      </c>
      <c r="F72">
        <v>0</v>
      </c>
      <c r="G72">
        <v>0</v>
      </c>
      <c r="H72">
        <v>0</v>
      </c>
      <c r="I72" t="s">
        <v>10</v>
      </c>
      <c r="J72" s="13">
        <v>276.35000000000002</v>
      </c>
      <c r="K72" s="13">
        <v>370</v>
      </c>
      <c r="L72" s="7">
        <f t="shared" si="2"/>
        <v>93.649999999999977</v>
      </c>
      <c r="M72" s="8">
        <f t="shared" si="3"/>
        <v>0.25310810810810802</v>
      </c>
    </row>
    <row r="73" spans="2:14" x14ac:dyDescent="0.25">
      <c r="D73">
        <v>5</v>
      </c>
      <c r="E73">
        <v>0</v>
      </c>
      <c r="F73">
        <v>0</v>
      </c>
      <c r="G73">
        <v>0</v>
      </c>
      <c r="H73">
        <v>0</v>
      </c>
      <c r="I73" t="s">
        <v>10</v>
      </c>
    </row>
    <row r="74" spans="2:14" x14ac:dyDescent="0.25">
      <c r="D74">
        <v>5</v>
      </c>
      <c r="E74">
        <v>0</v>
      </c>
      <c r="F74">
        <v>0</v>
      </c>
      <c r="G74">
        <v>0</v>
      </c>
      <c r="H74">
        <v>0</v>
      </c>
      <c r="I74" t="s">
        <v>10</v>
      </c>
    </row>
    <row r="75" spans="2:14" x14ac:dyDescent="0.25">
      <c r="D75">
        <v>5</v>
      </c>
      <c r="E75">
        <v>0</v>
      </c>
      <c r="F75">
        <v>0</v>
      </c>
      <c r="G75">
        <v>0</v>
      </c>
      <c r="H75">
        <v>0</v>
      </c>
      <c r="I75" t="s">
        <v>10</v>
      </c>
    </row>
    <row r="76" spans="2:14" x14ac:dyDescent="0.25">
      <c r="D76">
        <v>5</v>
      </c>
      <c r="E76">
        <v>0</v>
      </c>
      <c r="F76">
        <v>0</v>
      </c>
      <c r="G76">
        <v>0</v>
      </c>
      <c r="H76">
        <v>0</v>
      </c>
      <c r="I76" t="s">
        <v>10</v>
      </c>
    </row>
    <row r="77" spans="2:14" x14ac:dyDescent="0.25">
      <c r="D77">
        <v>5</v>
      </c>
      <c r="E77">
        <v>0</v>
      </c>
      <c r="F77">
        <v>0</v>
      </c>
      <c r="G77">
        <v>0</v>
      </c>
      <c r="H77">
        <v>0</v>
      </c>
      <c r="I77" t="s">
        <v>10</v>
      </c>
    </row>
    <row r="78" spans="2:14" x14ac:dyDescent="0.25">
      <c r="D78">
        <v>5</v>
      </c>
      <c r="E78">
        <v>0</v>
      </c>
      <c r="F78">
        <v>0</v>
      </c>
      <c r="G78">
        <v>0</v>
      </c>
      <c r="H78">
        <v>0</v>
      </c>
      <c r="I78" t="s">
        <v>10</v>
      </c>
    </row>
    <row r="79" spans="2:14" x14ac:dyDescent="0.25">
      <c r="D79">
        <v>5</v>
      </c>
      <c r="E79">
        <v>0</v>
      </c>
      <c r="F79">
        <v>0</v>
      </c>
      <c r="G79">
        <v>0</v>
      </c>
      <c r="H79">
        <v>0</v>
      </c>
      <c r="I79" t="s">
        <v>10</v>
      </c>
    </row>
    <row r="80" spans="2:14" x14ac:dyDescent="0.25">
      <c r="D80">
        <v>5</v>
      </c>
      <c r="E80">
        <v>0</v>
      </c>
      <c r="F80">
        <v>0</v>
      </c>
      <c r="G80">
        <v>0</v>
      </c>
      <c r="H80">
        <v>0</v>
      </c>
      <c r="I80" t="s">
        <v>10</v>
      </c>
    </row>
    <row r="81" spans="4:9" x14ac:dyDescent="0.25">
      <c r="D81">
        <v>5</v>
      </c>
      <c r="E81">
        <v>0</v>
      </c>
      <c r="F81">
        <v>0</v>
      </c>
      <c r="G81">
        <v>0</v>
      </c>
      <c r="H81">
        <v>0</v>
      </c>
      <c r="I81" t="s">
        <v>10</v>
      </c>
    </row>
    <row r="82" spans="4:9" x14ac:dyDescent="0.25">
      <c r="D82">
        <v>5</v>
      </c>
      <c r="E82">
        <v>0</v>
      </c>
      <c r="F82">
        <v>0</v>
      </c>
      <c r="G82">
        <v>0</v>
      </c>
      <c r="H82">
        <v>0</v>
      </c>
      <c r="I82" t="s">
        <v>10</v>
      </c>
    </row>
    <row r="83" spans="4:9" x14ac:dyDescent="0.25">
      <c r="D83">
        <v>5</v>
      </c>
      <c r="E83">
        <v>0</v>
      </c>
      <c r="F83">
        <v>0</v>
      </c>
      <c r="G83">
        <v>0</v>
      </c>
      <c r="H83">
        <v>0</v>
      </c>
      <c r="I83" t="s">
        <v>10</v>
      </c>
    </row>
    <row r="84" spans="4:9" x14ac:dyDescent="0.25">
      <c r="D84">
        <v>5</v>
      </c>
      <c r="E84">
        <v>0</v>
      </c>
      <c r="F84">
        <v>0</v>
      </c>
      <c r="G84">
        <v>0</v>
      </c>
      <c r="H84">
        <v>0</v>
      </c>
      <c r="I84" t="s">
        <v>10</v>
      </c>
    </row>
    <row r="85" spans="4:9" x14ac:dyDescent="0.25">
      <c r="D85">
        <v>5</v>
      </c>
      <c r="E85">
        <v>0</v>
      </c>
      <c r="F85">
        <v>0</v>
      </c>
      <c r="G85">
        <v>0</v>
      </c>
      <c r="H85">
        <v>0</v>
      </c>
      <c r="I85" t="s">
        <v>10</v>
      </c>
    </row>
    <row r="86" spans="4:9" x14ac:dyDescent="0.25">
      <c r="D86">
        <v>5</v>
      </c>
      <c r="E86">
        <v>0</v>
      </c>
      <c r="F86">
        <v>0</v>
      </c>
      <c r="G86">
        <v>0</v>
      </c>
      <c r="H86">
        <v>0</v>
      </c>
      <c r="I86" t="s">
        <v>10</v>
      </c>
    </row>
    <row r="87" spans="4:9" x14ac:dyDescent="0.25">
      <c r="D87">
        <v>5</v>
      </c>
      <c r="E87">
        <v>0</v>
      </c>
      <c r="F87">
        <v>0</v>
      </c>
      <c r="G87">
        <v>0</v>
      </c>
      <c r="H87">
        <v>0</v>
      </c>
      <c r="I87" t="s">
        <v>10</v>
      </c>
    </row>
    <row r="88" spans="4:9" x14ac:dyDescent="0.25">
      <c r="D88">
        <v>5</v>
      </c>
      <c r="E88">
        <v>0</v>
      </c>
      <c r="F88">
        <v>0</v>
      </c>
      <c r="G88">
        <v>0</v>
      </c>
      <c r="H88">
        <v>0</v>
      </c>
      <c r="I88" t="s">
        <v>10</v>
      </c>
    </row>
    <row r="89" spans="4:9" x14ac:dyDescent="0.25">
      <c r="D89">
        <v>5</v>
      </c>
      <c r="E89">
        <v>0</v>
      </c>
      <c r="F89">
        <v>0</v>
      </c>
      <c r="G89">
        <v>0</v>
      </c>
      <c r="H89">
        <v>0</v>
      </c>
      <c r="I89" t="s">
        <v>10</v>
      </c>
    </row>
    <row r="90" spans="4:9" x14ac:dyDescent="0.25">
      <c r="D90">
        <v>5</v>
      </c>
      <c r="E90">
        <v>0</v>
      </c>
      <c r="F90">
        <v>0</v>
      </c>
      <c r="G90">
        <v>0</v>
      </c>
      <c r="H90">
        <v>0</v>
      </c>
      <c r="I90" t="s">
        <v>10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/>
  </sheetViews>
  <sheetFormatPr baseColWidth="10" defaultColWidth="9.140625" defaultRowHeight="15" x14ac:dyDescent="0.25"/>
  <sheetData>
    <row r="1" spans="1:6" x14ac:dyDescent="0.25">
      <c r="A1" t="s">
        <v>24</v>
      </c>
    </row>
    <row r="3" spans="1:6" x14ac:dyDescent="0.25">
      <c r="A3" t="s">
        <v>25</v>
      </c>
    </row>
    <row r="5" spans="1:6" x14ac:dyDescent="0.25">
      <c r="A5" t="s">
        <v>26</v>
      </c>
    </row>
    <row r="6" spans="1:6" x14ac:dyDescent="0.25">
      <c r="A6" t="s">
        <v>27</v>
      </c>
      <c r="B6" t="s">
        <v>12</v>
      </c>
    </row>
    <row r="7" spans="1:6" x14ac:dyDescent="0.25">
      <c r="A7" t="s">
        <v>28</v>
      </c>
      <c r="B7">
        <v>16</v>
      </c>
    </row>
    <row r="8" spans="1:6" x14ac:dyDescent="0.25">
      <c r="A8" t="s">
        <v>29</v>
      </c>
      <c r="B8">
        <v>1</v>
      </c>
    </row>
    <row r="9" spans="1:6" x14ac:dyDescent="0.25">
      <c r="A9" t="s">
        <v>30</v>
      </c>
      <c r="B9">
        <f>VLOOKUP(B6, Cat_Productos!$A$2:$G$46, 5, FALSE)</f>
        <v>1.2</v>
      </c>
    </row>
    <row r="11" spans="1:6" x14ac:dyDescent="0.25">
      <c r="A11" t="s">
        <v>31</v>
      </c>
      <c r="B11">
        <f>B7*B8*B9</f>
        <v>19.2</v>
      </c>
      <c r="C11" t="s">
        <v>32</v>
      </c>
    </row>
    <row r="13" spans="1:6" x14ac:dyDescent="0.25">
      <c r="A13" t="s">
        <v>33</v>
      </c>
    </row>
    <row r="14" spans="1:6" x14ac:dyDescent="0.25">
      <c r="A14" t="s">
        <v>34</v>
      </c>
      <c r="B14" t="s">
        <v>35</v>
      </c>
      <c r="C14" t="s">
        <v>36</v>
      </c>
      <c r="D14" t="s">
        <v>37</v>
      </c>
      <c r="E14" t="s">
        <v>38</v>
      </c>
      <c r="F14" t="s">
        <v>39</v>
      </c>
    </row>
    <row r="15" spans="1:6" x14ac:dyDescent="0.25">
      <c r="A15" s="1">
        <v>1.5</v>
      </c>
      <c r="B15" s="2">
        <f>IFERROR(SUMIFS(Cat_Productos!$D$2:$D$46, Cat_Productos!$A$2:$A$46, $B$6, Cat_Productos!$C$2:$C$46, A15), 0)</f>
        <v>720</v>
      </c>
      <c r="C15" s="3">
        <f t="shared" ref="C15:C20" si="0">IFERROR(B15/A15, 0)</f>
        <v>480</v>
      </c>
      <c r="D15">
        <v>0</v>
      </c>
      <c r="E15" s="1">
        <f t="shared" ref="E15:E20" si="1">A15*D15</f>
        <v>0</v>
      </c>
      <c r="F15" s="2">
        <f t="shared" ref="F15:F20" si="2">B15*D15</f>
        <v>0</v>
      </c>
    </row>
    <row r="16" spans="1:6" x14ac:dyDescent="0.25">
      <c r="A16" s="1">
        <v>3</v>
      </c>
      <c r="B16" s="2">
        <f>IFERROR(SUMIFS(Cat_Productos!$D$2:$D$46, Cat_Productos!$A$2:$A$46, $B$6, Cat_Productos!$C$2:$C$46, A16), 0)</f>
        <v>1440</v>
      </c>
      <c r="C16" s="3">
        <f t="shared" si="0"/>
        <v>480</v>
      </c>
      <c r="D16">
        <v>0</v>
      </c>
      <c r="E16" s="1">
        <f t="shared" si="1"/>
        <v>0</v>
      </c>
      <c r="F16" s="2">
        <f t="shared" si="2"/>
        <v>0</v>
      </c>
    </row>
    <row r="17" spans="1:6" x14ac:dyDescent="0.25">
      <c r="A17" s="1">
        <v>6</v>
      </c>
      <c r="B17" s="2">
        <f>IFERROR(SUMIFS(Cat_Productos!$D$2:$D$46, Cat_Productos!$A$2:$A$46, $B$6, Cat_Productos!$C$2:$C$46, A17), 0)</f>
        <v>2760</v>
      </c>
      <c r="C17" s="3">
        <f t="shared" si="0"/>
        <v>460</v>
      </c>
      <c r="D17">
        <v>0</v>
      </c>
      <c r="E17" s="1">
        <f t="shared" si="1"/>
        <v>0</v>
      </c>
      <c r="F17" s="2">
        <f t="shared" si="2"/>
        <v>0</v>
      </c>
    </row>
    <row r="18" spans="1:6" x14ac:dyDescent="0.25">
      <c r="A18" s="1">
        <v>10</v>
      </c>
      <c r="B18" s="2">
        <f>IFERROR(SUMIFS(Cat_Productos!$D$2:$D$46, Cat_Productos!$A$2:$A$46, $B$6, Cat_Productos!$C$2:$C$46, A18), 0)</f>
        <v>4400</v>
      </c>
      <c r="C18" s="3">
        <f t="shared" si="0"/>
        <v>440</v>
      </c>
      <c r="D18">
        <v>0</v>
      </c>
      <c r="E18" s="1">
        <f t="shared" si="1"/>
        <v>0</v>
      </c>
      <c r="F18" s="2">
        <f t="shared" si="2"/>
        <v>0</v>
      </c>
    </row>
    <row r="19" spans="1:6" x14ac:dyDescent="0.25">
      <c r="A19" s="1">
        <v>15</v>
      </c>
      <c r="B19" s="2">
        <f>IFERROR(SUMIFS(Cat_Productos!$D$2:$D$46, Cat_Productos!$A$2:$A$46, $B$6, Cat_Productos!$C$2:$C$46, A19), 0)</f>
        <v>6300</v>
      </c>
      <c r="C19" s="3">
        <f t="shared" si="0"/>
        <v>420</v>
      </c>
      <c r="D19">
        <v>0</v>
      </c>
      <c r="E19" s="1">
        <f t="shared" si="1"/>
        <v>0</v>
      </c>
      <c r="F19" s="2">
        <f t="shared" si="2"/>
        <v>0</v>
      </c>
    </row>
    <row r="20" spans="1:6" x14ac:dyDescent="0.25">
      <c r="A20" s="1">
        <v>20</v>
      </c>
      <c r="B20" s="2">
        <f>IFERROR(SUMIFS(Cat_Productos!$D$2:$D$46, Cat_Productos!$A$2:$A$46, $B$6, Cat_Productos!$C$2:$C$46, A20), 0)</f>
        <v>8000</v>
      </c>
      <c r="C20" s="3">
        <f t="shared" si="0"/>
        <v>400</v>
      </c>
      <c r="D20">
        <f>ROUNDUP(B11/A20, 0)</f>
        <v>1</v>
      </c>
      <c r="E20" s="1">
        <f t="shared" si="1"/>
        <v>20</v>
      </c>
      <c r="F20" s="2">
        <f t="shared" si="2"/>
        <v>8000</v>
      </c>
    </row>
    <row r="22" spans="1:6" x14ac:dyDescent="0.25">
      <c r="A22" t="s">
        <v>40</v>
      </c>
      <c r="B22" s="1">
        <f>SUM(E15:E20)</f>
        <v>20</v>
      </c>
      <c r="C22" t="s">
        <v>41</v>
      </c>
    </row>
    <row r="23" spans="1:6" x14ac:dyDescent="0.25">
      <c r="A23" t="s">
        <v>42</v>
      </c>
      <c r="B23" s="2">
        <f>SUM(F15:F20)</f>
        <v>8000</v>
      </c>
      <c r="C23" t="s">
        <v>43</v>
      </c>
    </row>
    <row r="25" spans="1:6" x14ac:dyDescent="0.25">
      <c r="A25" t="s">
        <v>44</v>
      </c>
    </row>
    <row r="26" spans="1:6" x14ac:dyDescent="0.25">
      <c r="A26" t="s">
        <v>45</v>
      </c>
      <c r="B26" t="s">
        <v>46</v>
      </c>
      <c r="C26" t="s">
        <v>47</v>
      </c>
    </row>
    <row r="27" spans="1:6" x14ac:dyDescent="0.25">
      <c r="A27" t="s">
        <v>48</v>
      </c>
      <c r="B27" t="s">
        <v>49</v>
      </c>
      <c r="C27">
        <f>B11 * (100 / (100 + IFERROR(SUMIFS(Cat_Productos!$G$2:$G$46, Cat_Productos!$A$2:$A$46, $B$6), 50)))</f>
        <v>4.8</v>
      </c>
      <c r="D27" t="s">
        <v>32</v>
      </c>
    </row>
    <row r="28" spans="1:6" x14ac:dyDescent="0.25">
      <c r="A28" t="s">
        <v>50</v>
      </c>
      <c r="B28" t="s">
        <v>51</v>
      </c>
      <c r="C28">
        <f>B11 - C27</f>
        <v>14.399999999999999</v>
      </c>
      <c r="D28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workbookViewId="0"/>
  </sheetViews>
  <sheetFormatPr baseColWidth="10" defaultColWidth="9.140625" defaultRowHeight="15" x14ac:dyDescent="0.25"/>
  <sheetData>
    <row r="1" spans="1:9" x14ac:dyDescent="0.25">
      <c r="A1" t="s">
        <v>52</v>
      </c>
      <c r="C1" t="s">
        <v>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</row>
    <row r="2" spans="1:9" x14ac:dyDescent="0.25">
      <c r="A2" t="s">
        <v>12</v>
      </c>
      <c r="C2">
        <v>1.5</v>
      </c>
      <c r="D2">
        <v>720</v>
      </c>
      <c r="E2">
        <v>1.2</v>
      </c>
      <c r="F2">
        <v>100</v>
      </c>
      <c r="G2">
        <v>50</v>
      </c>
    </row>
    <row r="3" spans="1:9" x14ac:dyDescent="0.25">
      <c r="A3" t="s">
        <v>12</v>
      </c>
      <c r="C3">
        <v>3</v>
      </c>
      <c r="D3">
        <v>1440</v>
      </c>
      <c r="E3">
        <v>1.2</v>
      </c>
      <c r="F3">
        <v>100</v>
      </c>
      <c r="G3">
        <v>50</v>
      </c>
    </row>
    <row r="4" spans="1:9" x14ac:dyDescent="0.25">
      <c r="A4" t="s">
        <v>12</v>
      </c>
      <c r="C4">
        <v>6</v>
      </c>
      <c r="D4">
        <v>2760</v>
      </c>
      <c r="E4">
        <v>1.2</v>
      </c>
      <c r="F4">
        <v>100</v>
      </c>
      <c r="G4">
        <v>50</v>
      </c>
    </row>
    <row r="5" spans="1:9" x14ac:dyDescent="0.25">
      <c r="A5" t="s">
        <v>12</v>
      </c>
      <c r="C5">
        <v>10</v>
      </c>
      <c r="D5">
        <v>4400</v>
      </c>
      <c r="E5">
        <v>1.2</v>
      </c>
      <c r="F5">
        <v>100</v>
      </c>
      <c r="G5">
        <v>50</v>
      </c>
    </row>
    <row r="6" spans="1:9" x14ac:dyDescent="0.25">
      <c r="A6" t="s">
        <v>12</v>
      </c>
      <c r="C6">
        <v>15</v>
      </c>
      <c r="D6">
        <v>6300</v>
      </c>
      <c r="E6">
        <v>1.2</v>
      </c>
      <c r="F6">
        <v>100</v>
      </c>
      <c r="G6">
        <v>50</v>
      </c>
    </row>
    <row r="7" spans="1:9" x14ac:dyDescent="0.25">
      <c r="A7" t="s">
        <v>12</v>
      </c>
      <c r="C7">
        <v>20</v>
      </c>
      <c r="D7">
        <v>8000</v>
      </c>
      <c r="E7">
        <v>1.2</v>
      </c>
      <c r="F7">
        <v>100</v>
      </c>
      <c r="G7">
        <v>50</v>
      </c>
    </row>
    <row r="8" spans="1:9" x14ac:dyDescent="0.25">
      <c r="A8" t="s">
        <v>11</v>
      </c>
      <c r="C8">
        <v>2</v>
      </c>
      <c r="D8">
        <v>960</v>
      </c>
      <c r="E8">
        <v>1</v>
      </c>
      <c r="F8">
        <v>100</v>
      </c>
      <c r="G8">
        <v>84</v>
      </c>
    </row>
    <row r="9" spans="1:9" x14ac:dyDescent="0.25">
      <c r="A9" t="s">
        <v>11</v>
      </c>
      <c r="C9">
        <v>6</v>
      </c>
      <c r="D9">
        <v>2760</v>
      </c>
      <c r="E9">
        <v>1</v>
      </c>
      <c r="F9">
        <v>100</v>
      </c>
      <c r="G9">
        <v>84</v>
      </c>
    </row>
    <row r="10" spans="1:9" x14ac:dyDescent="0.25">
      <c r="A10" t="s">
        <v>11</v>
      </c>
      <c r="C10">
        <v>10</v>
      </c>
      <c r="D10">
        <v>4400</v>
      </c>
      <c r="E10">
        <v>1</v>
      </c>
      <c r="F10">
        <v>100</v>
      </c>
      <c r="G10">
        <v>84</v>
      </c>
    </row>
    <row r="11" spans="1:9" x14ac:dyDescent="0.25">
      <c r="A11" t="s">
        <v>11</v>
      </c>
      <c r="C11">
        <v>19</v>
      </c>
      <c r="D11">
        <v>7980</v>
      </c>
      <c r="E11">
        <v>1</v>
      </c>
      <c r="F11">
        <v>100</v>
      </c>
      <c r="G11">
        <v>84</v>
      </c>
    </row>
    <row r="12" spans="1:9" x14ac:dyDescent="0.25">
      <c r="A12" t="s">
        <v>9</v>
      </c>
      <c r="C12">
        <v>1.42</v>
      </c>
      <c r="D12">
        <v>795</v>
      </c>
      <c r="E12">
        <v>1.07</v>
      </c>
      <c r="F12">
        <v>100</v>
      </c>
      <c r="G12">
        <v>42</v>
      </c>
    </row>
    <row r="13" spans="1:9" x14ac:dyDescent="0.25">
      <c r="A13" t="s">
        <v>9</v>
      </c>
      <c r="C13">
        <v>4.26</v>
      </c>
      <c r="D13">
        <v>2386</v>
      </c>
      <c r="E13">
        <v>1.07</v>
      </c>
      <c r="F13">
        <v>100</v>
      </c>
      <c r="G13">
        <v>42</v>
      </c>
    </row>
    <row r="14" spans="1:9" x14ac:dyDescent="0.25">
      <c r="A14" t="s">
        <v>9</v>
      </c>
      <c r="C14">
        <v>7.1</v>
      </c>
      <c r="D14">
        <v>3692</v>
      </c>
      <c r="E14">
        <v>1.07</v>
      </c>
      <c r="F14">
        <v>100</v>
      </c>
      <c r="G14">
        <v>42</v>
      </c>
    </row>
    <row r="15" spans="1:9" x14ac:dyDescent="0.25">
      <c r="A15" t="s">
        <v>9</v>
      </c>
      <c r="C15">
        <v>17.04</v>
      </c>
      <c r="D15">
        <v>8520</v>
      </c>
      <c r="E15">
        <v>1.07</v>
      </c>
      <c r="F15">
        <v>100</v>
      </c>
      <c r="G15">
        <v>42</v>
      </c>
    </row>
    <row r="16" spans="1:9" x14ac:dyDescent="0.25">
      <c r="A16" t="s">
        <v>13</v>
      </c>
      <c r="C16">
        <v>1.35</v>
      </c>
      <c r="D16">
        <v>540</v>
      </c>
      <c r="E16">
        <v>0.33329999999999999</v>
      </c>
      <c r="F16">
        <v>100</v>
      </c>
      <c r="G16">
        <v>35</v>
      </c>
    </row>
    <row r="17" spans="1:9" x14ac:dyDescent="0.25">
      <c r="A17" t="s">
        <v>13</v>
      </c>
      <c r="C17">
        <v>10</v>
      </c>
      <c r="D17">
        <v>3800</v>
      </c>
      <c r="E17">
        <v>0.33329999999999999</v>
      </c>
      <c r="F17">
        <v>100</v>
      </c>
      <c r="G17">
        <v>35</v>
      </c>
    </row>
    <row r="18" spans="1:9" x14ac:dyDescent="0.25">
      <c r="A18" t="s">
        <v>13</v>
      </c>
      <c r="C18">
        <v>20.024999999999999</v>
      </c>
      <c r="D18">
        <v>7409</v>
      </c>
      <c r="E18">
        <v>0.33329999999999999</v>
      </c>
      <c r="F18">
        <v>100</v>
      </c>
      <c r="G18">
        <v>35</v>
      </c>
    </row>
    <row r="19" spans="1:9" x14ac:dyDescent="0.25">
      <c r="A19" t="s">
        <v>14</v>
      </c>
      <c r="C19">
        <v>1.333</v>
      </c>
      <c r="D19">
        <v>640</v>
      </c>
      <c r="E19">
        <v>1.07</v>
      </c>
      <c r="F19">
        <v>100</v>
      </c>
      <c r="G19">
        <v>33</v>
      </c>
    </row>
    <row r="20" spans="1:9" x14ac:dyDescent="0.25">
      <c r="A20" t="s">
        <v>14</v>
      </c>
      <c r="C20">
        <v>6.65</v>
      </c>
      <c r="D20">
        <v>3192</v>
      </c>
      <c r="E20">
        <v>1.07</v>
      </c>
      <c r="F20">
        <v>100</v>
      </c>
      <c r="G20">
        <v>33</v>
      </c>
    </row>
    <row r="21" spans="1:9" x14ac:dyDescent="0.25">
      <c r="A21" t="s">
        <v>14</v>
      </c>
      <c r="C21">
        <v>13.3</v>
      </c>
      <c r="D21">
        <v>5852</v>
      </c>
      <c r="E21">
        <v>1.07</v>
      </c>
      <c r="F21">
        <v>100</v>
      </c>
      <c r="G21">
        <v>33</v>
      </c>
    </row>
    <row r="22" spans="1:9" x14ac:dyDescent="0.25">
      <c r="A22" t="s">
        <v>14</v>
      </c>
      <c r="C22">
        <v>24</v>
      </c>
      <c r="D22">
        <v>10080</v>
      </c>
      <c r="E22">
        <v>1.07</v>
      </c>
      <c r="F22">
        <v>100</v>
      </c>
      <c r="G22">
        <v>33</v>
      </c>
    </row>
    <row r="23" spans="1:9" x14ac:dyDescent="0.25">
      <c r="A23" t="s">
        <v>15</v>
      </c>
      <c r="C23">
        <v>1</v>
      </c>
      <c r="D23">
        <v>460</v>
      </c>
      <c r="E23">
        <v>0.1</v>
      </c>
      <c r="F23">
        <v>100</v>
      </c>
      <c r="G23">
        <v>50</v>
      </c>
    </row>
    <row r="24" spans="1:9" x14ac:dyDescent="0.25">
      <c r="A24" t="s">
        <v>15</v>
      </c>
      <c r="C24">
        <v>5</v>
      </c>
      <c r="D24">
        <v>2090</v>
      </c>
      <c r="E24">
        <v>0.1</v>
      </c>
      <c r="F24">
        <v>100</v>
      </c>
      <c r="G24">
        <v>50</v>
      </c>
    </row>
    <row r="25" spans="1:9" x14ac:dyDescent="0.25">
      <c r="A25" t="s">
        <v>15</v>
      </c>
      <c r="C25">
        <v>10</v>
      </c>
      <c r="D25">
        <v>4180</v>
      </c>
      <c r="E25">
        <v>0.1</v>
      </c>
      <c r="F25">
        <v>100</v>
      </c>
      <c r="G25">
        <v>50</v>
      </c>
    </row>
    <row r="26" spans="1:9" x14ac:dyDescent="0.25">
      <c r="A26" t="s">
        <v>15</v>
      </c>
      <c r="C26">
        <v>20</v>
      </c>
      <c r="D26">
        <v>8250</v>
      </c>
      <c r="E26">
        <v>0.1</v>
      </c>
      <c r="F26">
        <v>100</v>
      </c>
      <c r="G26">
        <v>50</v>
      </c>
    </row>
    <row r="27" spans="1:9" x14ac:dyDescent="0.25">
      <c r="A27" t="s">
        <v>16</v>
      </c>
      <c r="C27">
        <v>60</v>
      </c>
      <c r="D27">
        <v>75</v>
      </c>
      <c r="F27">
        <v>100</v>
      </c>
      <c r="G27">
        <v>0</v>
      </c>
      <c r="H27">
        <v>10</v>
      </c>
      <c r="I27" t="s">
        <v>59</v>
      </c>
    </row>
    <row r="28" spans="1:9" x14ac:dyDescent="0.25">
      <c r="A28" t="s">
        <v>16</v>
      </c>
      <c r="C28">
        <v>100</v>
      </c>
      <c r="D28">
        <v>112</v>
      </c>
      <c r="F28">
        <v>100</v>
      </c>
      <c r="G28">
        <v>0</v>
      </c>
      <c r="H28">
        <v>10</v>
      </c>
      <c r="I28" t="s">
        <v>59</v>
      </c>
    </row>
    <row r="29" spans="1:9" x14ac:dyDescent="0.25">
      <c r="A29" t="s">
        <v>16</v>
      </c>
      <c r="C29">
        <v>250</v>
      </c>
      <c r="D29">
        <v>270</v>
      </c>
      <c r="F29">
        <v>100</v>
      </c>
      <c r="G29">
        <v>0</v>
      </c>
      <c r="H29">
        <v>10</v>
      </c>
      <c r="I29" t="s">
        <v>59</v>
      </c>
    </row>
    <row r="30" spans="1:9" x14ac:dyDescent="0.25">
      <c r="A30" t="s">
        <v>16</v>
      </c>
      <c r="C30">
        <v>500</v>
      </c>
      <c r="D30">
        <v>520</v>
      </c>
      <c r="F30">
        <v>100</v>
      </c>
      <c r="G30">
        <v>0</v>
      </c>
      <c r="H30">
        <v>10</v>
      </c>
      <c r="I30" t="s">
        <v>59</v>
      </c>
    </row>
    <row r="31" spans="1:9" x14ac:dyDescent="0.25">
      <c r="A31" t="s">
        <v>16</v>
      </c>
      <c r="C31">
        <v>1</v>
      </c>
      <c r="D31">
        <v>840</v>
      </c>
      <c r="F31">
        <v>100</v>
      </c>
      <c r="G31">
        <v>0</v>
      </c>
      <c r="H31">
        <v>10</v>
      </c>
      <c r="I31" t="s">
        <v>59</v>
      </c>
    </row>
    <row r="32" spans="1:9" x14ac:dyDescent="0.25">
      <c r="A32" t="s">
        <v>60</v>
      </c>
      <c r="C32">
        <v>20</v>
      </c>
      <c r="D32">
        <v>25</v>
      </c>
      <c r="F32">
        <v>100</v>
      </c>
      <c r="G32">
        <v>0</v>
      </c>
      <c r="H32">
        <v>60</v>
      </c>
      <c r="I32" t="s">
        <v>61</v>
      </c>
    </row>
    <row r="33" spans="1:9" x14ac:dyDescent="0.25">
      <c r="A33" t="s">
        <v>60</v>
      </c>
      <c r="C33">
        <v>60</v>
      </c>
      <c r="D33">
        <v>65</v>
      </c>
      <c r="F33">
        <v>100</v>
      </c>
      <c r="G33">
        <v>0</v>
      </c>
      <c r="H33">
        <v>60</v>
      </c>
      <c r="I33" t="s">
        <v>61</v>
      </c>
    </row>
    <row r="34" spans="1:9" x14ac:dyDescent="0.25">
      <c r="A34" t="s">
        <v>60</v>
      </c>
      <c r="C34">
        <v>100</v>
      </c>
      <c r="D34">
        <v>110</v>
      </c>
      <c r="F34">
        <v>100</v>
      </c>
      <c r="G34">
        <v>0</v>
      </c>
      <c r="H34">
        <v>60</v>
      </c>
      <c r="I34" t="s">
        <v>61</v>
      </c>
    </row>
    <row r="35" spans="1:9" x14ac:dyDescent="0.25">
      <c r="A35" t="s">
        <v>60</v>
      </c>
      <c r="C35">
        <v>250</v>
      </c>
      <c r="D35">
        <v>190</v>
      </c>
      <c r="F35">
        <v>100</v>
      </c>
      <c r="G35">
        <v>0</v>
      </c>
      <c r="H35">
        <v>60</v>
      </c>
      <c r="I35" t="s">
        <v>61</v>
      </c>
    </row>
    <row r="36" spans="1:9" x14ac:dyDescent="0.25">
      <c r="A36" t="s">
        <v>60</v>
      </c>
      <c r="C36">
        <v>500</v>
      </c>
      <c r="D36">
        <v>320</v>
      </c>
      <c r="F36">
        <v>100</v>
      </c>
      <c r="G36">
        <v>0</v>
      </c>
      <c r="H36">
        <v>60</v>
      </c>
      <c r="I36" t="s">
        <v>61</v>
      </c>
    </row>
    <row r="37" spans="1:9" x14ac:dyDescent="0.25">
      <c r="A37" t="s">
        <v>60</v>
      </c>
      <c r="C37">
        <v>1</v>
      </c>
      <c r="D37">
        <v>550</v>
      </c>
      <c r="F37">
        <v>100</v>
      </c>
      <c r="G37">
        <v>0</v>
      </c>
      <c r="H37">
        <v>60</v>
      </c>
      <c r="I37" t="s">
        <v>61</v>
      </c>
    </row>
    <row r="38" spans="1:9" x14ac:dyDescent="0.25">
      <c r="A38" t="s">
        <v>17</v>
      </c>
      <c r="C38">
        <v>20</v>
      </c>
      <c r="D38">
        <v>275</v>
      </c>
      <c r="F38">
        <v>100</v>
      </c>
      <c r="G38">
        <v>0</v>
      </c>
      <c r="H38">
        <v>10</v>
      </c>
      <c r="I38" t="s">
        <v>62</v>
      </c>
    </row>
    <row r="39" spans="1:9" x14ac:dyDescent="0.25">
      <c r="A39" t="s">
        <v>17</v>
      </c>
      <c r="C39">
        <v>50</v>
      </c>
      <c r="D39">
        <v>630</v>
      </c>
      <c r="F39">
        <v>100</v>
      </c>
      <c r="G39">
        <v>0</v>
      </c>
      <c r="H39">
        <v>10</v>
      </c>
      <c r="I39" t="s">
        <v>62</v>
      </c>
    </row>
    <row r="40" spans="1:9" x14ac:dyDescent="0.25">
      <c r="A40" t="s">
        <v>17</v>
      </c>
      <c r="C40">
        <v>100</v>
      </c>
      <c r="D40">
        <v>1100</v>
      </c>
      <c r="F40">
        <v>100</v>
      </c>
      <c r="G40">
        <v>0</v>
      </c>
      <c r="H40">
        <v>10</v>
      </c>
      <c r="I40" t="s">
        <v>62</v>
      </c>
    </row>
    <row r="41" spans="1:9" x14ac:dyDescent="0.25">
      <c r="A41" t="s">
        <v>18</v>
      </c>
      <c r="C41">
        <v>10</v>
      </c>
      <c r="D41">
        <v>106</v>
      </c>
      <c r="F41">
        <v>100</v>
      </c>
      <c r="G41">
        <v>0</v>
      </c>
      <c r="H41">
        <v>8</v>
      </c>
      <c r="I41" t="s">
        <v>63</v>
      </c>
    </row>
    <row r="42" spans="1:9" x14ac:dyDescent="0.25">
      <c r="A42" t="s">
        <v>18</v>
      </c>
      <c r="C42">
        <v>30</v>
      </c>
      <c r="D42">
        <v>312</v>
      </c>
      <c r="F42">
        <v>100</v>
      </c>
      <c r="G42">
        <v>0</v>
      </c>
      <c r="H42">
        <v>8</v>
      </c>
      <c r="I42" t="s">
        <v>63</v>
      </c>
    </row>
    <row r="43" spans="1:9" x14ac:dyDescent="0.25">
      <c r="A43" t="s">
        <v>18</v>
      </c>
      <c r="C43">
        <v>50</v>
      </c>
      <c r="D43">
        <v>466</v>
      </c>
      <c r="F43">
        <v>100</v>
      </c>
      <c r="G43">
        <v>0</v>
      </c>
      <c r="H43">
        <v>8</v>
      </c>
      <c r="I43" t="s">
        <v>63</v>
      </c>
    </row>
    <row r="44" spans="1:9" x14ac:dyDescent="0.25">
      <c r="A44" t="s">
        <v>18</v>
      </c>
      <c r="C44">
        <v>100</v>
      </c>
      <c r="D44">
        <v>844</v>
      </c>
      <c r="F44">
        <v>100</v>
      </c>
      <c r="G44">
        <v>0</v>
      </c>
      <c r="H44">
        <v>8</v>
      </c>
      <c r="I44" t="s">
        <v>63</v>
      </c>
    </row>
    <row r="45" spans="1:9" x14ac:dyDescent="0.25">
      <c r="A45" t="s">
        <v>18</v>
      </c>
      <c r="C45">
        <v>200</v>
      </c>
      <c r="D45">
        <v>1504</v>
      </c>
      <c r="F45">
        <v>100</v>
      </c>
      <c r="G45">
        <v>0</v>
      </c>
      <c r="H45">
        <v>8</v>
      </c>
      <c r="I45" t="s">
        <v>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baseColWidth="10" defaultColWidth="9.140625" defaultRowHeight="15" x14ac:dyDescent="0.25"/>
  <sheetData>
    <row r="1" spans="1:5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</row>
    <row r="2" spans="1:5" x14ac:dyDescent="0.25">
      <c r="A2" t="s">
        <v>69</v>
      </c>
      <c r="B2" t="s">
        <v>70</v>
      </c>
      <c r="C2" t="s">
        <v>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baseColWidth="10" defaultColWidth="9.140625" defaultRowHeight="15" x14ac:dyDescent="0.25"/>
  <sheetData>
    <row r="1" spans="1:5" x14ac:dyDescent="0.25">
      <c r="A1" t="s">
        <v>72</v>
      </c>
      <c r="B1" t="s">
        <v>73</v>
      </c>
      <c r="C1" t="s">
        <v>74</v>
      </c>
      <c r="D1" t="s">
        <v>75</v>
      </c>
      <c r="E1" t="s">
        <v>76</v>
      </c>
    </row>
    <row r="2" spans="1:5" x14ac:dyDescent="0.25">
      <c r="A2" t="s">
        <v>77</v>
      </c>
      <c r="B2" t="s">
        <v>78</v>
      </c>
      <c r="C2" t="s">
        <v>69</v>
      </c>
      <c r="D2" t="s">
        <v>79</v>
      </c>
      <c r="E2">
        <v>7110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/>
  </sheetViews>
  <sheetFormatPr baseColWidth="10" defaultColWidth="9.140625" defaultRowHeight="15" x14ac:dyDescent="0.25"/>
  <cols>
    <col min="1" max="1" width="29" customWidth="1"/>
    <col min="2" max="2" width="37" customWidth="1"/>
    <col min="3" max="4" width="16" customWidth="1"/>
    <col min="5" max="5" width="25" customWidth="1"/>
    <col min="6" max="6" width="23" customWidth="1"/>
    <col min="7" max="7" width="20" customWidth="1"/>
    <col min="8" max="8" width="31" customWidth="1"/>
    <col min="9" max="9" width="27" customWidth="1"/>
    <col min="10" max="10" width="22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  <c r="J1" t="s">
        <v>89</v>
      </c>
    </row>
    <row r="2" spans="1:10" x14ac:dyDescent="0.25">
      <c r="A2" t="s">
        <v>90</v>
      </c>
      <c r="B2" t="s">
        <v>12</v>
      </c>
      <c r="C2">
        <v>0</v>
      </c>
      <c r="D2">
        <v>5.9989999999999997</v>
      </c>
      <c r="E2">
        <v>361.42</v>
      </c>
      <c r="F2">
        <v>480</v>
      </c>
      <c r="G2">
        <v>118.58</v>
      </c>
      <c r="H2">
        <v>24.704166666666659</v>
      </c>
      <c r="I2">
        <v>32.809473742460291</v>
      </c>
      <c r="J2" t="s">
        <v>91</v>
      </c>
    </row>
    <row r="3" spans="1:10" x14ac:dyDescent="0.25">
      <c r="A3" t="s">
        <v>90</v>
      </c>
      <c r="B3" t="s">
        <v>12</v>
      </c>
      <c r="C3">
        <v>6</v>
      </c>
      <c r="D3">
        <v>9.9990000000000006</v>
      </c>
      <c r="E3">
        <v>346.02</v>
      </c>
      <c r="F3">
        <v>460</v>
      </c>
      <c r="G3">
        <v>113.98</v>
      </c>
      <c r="H3">
        <v>24.778260869565219</v>
      </c>
      <c r="I3">
        <v>32.940292468643442</v>
      </c>
      <c r="J3" t="s">
        <v>92</v>
      </c>
    </row>
    <row r="4" spans="1:10" x14ac:dyDescent="0.25">
      <c r="A4" t="s">
        <v>90</v>
      </c>
      <c r="B4" t="s">
        <v>12</v>
      </c>
      <c r="C4">
        <v>10</v>
      </c>
      <c r="D4">
        <v>14.999000000000001</v>
      </c>
      <c r="E4">
        <v>332.95</v>
      </c>
      <c r="F4">
        <v>440</v>
      </c>
      <c r="G4">
        <v>107.05</v>
      </c>
      <c r="H4">
        <v>24.32954545454546</v>
      </c>
      <c r="I4">
        <v>32.151974770986641</v>
      </c>
      <c r="J4" t="s">
        <v>93</v>
      </c>
    </row>
    <row r="5" spans="1:10" x14ac:dyDescent="0.25">
      <c r="A5" t="s">
        <v>90</v>
      </c>
      <c r="B5" t="s">
        <v>12</v>
      </c>
      <c r="C5">
        <v>15</v>
      </c>
      <c r="D5">
        <v>19.998999999999999</v>
      </c>
      <c r="E5">
        <v>316.8</v>
      </c>
      <c r="F5">
        <v>420</v>
      </c>
      <c r="G5">
        <v>103.2</v>
      </c>
      <c r="H5">
        <v>24.571428571428569</v>
      </c>
      <c r="I5">
        <v>32.575757575757571</v>
      </c>
      <c r="J5" t="s">
        <v>94</v>
      </c>
    </row>
    <row r="6" spans="1:10" x14ac:dyDescent="0.25">
      <c r="A6" t="s">
        <v>90</v>
      </c>
      <c r="B6" t="s">
        <v>12</v>
      </c>
      <c r="C6">
        <v>20</v>
      </c>
      <c r="E6">
        <v>301.45</v>
      </c>
      <c r="F6">
        <v>400</v>
      </c>
      <c r="G6">
        <v>98.550000000000011</v>
      </c>
      <c r="H6">
        <v>24.637499999999999</v>
      </c>
      <c r="I6">
        <v>32.691988721180962</v>
      </c>
      <c r="J6" t="s">
        <v>22</v>
      </c>
    </row>
    <row r="7" spans="1:10" x14ac:dyDescent="0.25">
      <c r="A7" t="s">
        <v>95</v>
      </c>
      <c r="B7" t="s">
        <v>13</v>
      </c>
      <c r="C7">
        <v>0</v>
      </c>
      <c r="D7">
        <v>9.9990000000000006</v>
      </c>
      <c r="E7">
        <v>397.99</v>
      </c>
      <c r="F7">
        <v>400</v>
      </c>
      <c r="G7">
        <v>2.0099999999999909</v>
      </c>
      <c r="H7">
        <v>0.50249999999999773</v>
      </c>
      <c r="I7">
        <v>0.50503781502047562</v>
      </c>
      <c r="J7" t="s">
        <v>96</v>
      </c>
    </row>
    <row r="8" spans="1:10" x14ac:dyDescent="0.25">
      <c r="A8" t="s">
        <v>95</v>
      </c>
      <c r="B8" t="s">
        <v>13</v>
      </c>
      <c r="C8">
        <v>10</v>
      </c>
      <c r="D8">
        <v>19.998999999999999</v>
      </c>
      <c r="E8">
        <v>292.7</v>
      </c>
      <c r="F8">
        <v>380</v>
      </c>
      <c r="G8">
        <v>87.300000000000011</v>
      </c>
      <c r="H8">
        <v>22.973684210526319</v>
      </c>
      <c r="I8">
        <v>29.825760163990441</v>
      </c>
      <c r="J8" t="s">
        <v>97</v>
      </c>
    </row>
    <row r="9" spans="1:10" x14ac:dyDescent="0.25">
      <c r="A9" t="s">
        <v>95</v>
      </c>
      <c r="B9" t="s">
        <v>13</v>
      </c>
      <c r="C9">
        <v>20</v>
      </c>
      <c r="E9">
        <v>276.35000000000002</v>
      </c>
      <c r="F9">
        <v>370</v>
      </c>
      <c r="G9">
        <v>93.649999999999977</v>
      </c>
      <c r="H9">
        <v>25.3108108108108</v>
      </c>
      <c r="I9">
        <v>33.888185272299609</v>
      </c>
      <c r="J9" t="s">
        <v>22</v>
      </c>
    </row>
    <row r="10" spans="1:10" x14ac:dyDescent="0.25">
      <c r="A10" t="s">
        <v>21</v>
      </c>
      <c r="B10" t="s">
        <v>21</v>
      </c>
      <c r="C10">
        <v>0</v>
      </c>
      <c r="D10">
        <v>3.9990000000000001</v>
      </c>
      <c r="E10">
        <v>444.45</v>
      </c>
      <c r="F10">
        <v>580</v>
      </c>
      <c r="G10">
        <v>135.55000000000001</v>
      </c>
      <c r="H10">
        <v>23.37068965517242</v>
      </c>
      <c r="I10">
        <v>30.498368770390371</v>
      </c>
      <c r="J10" t="s">
        <v>98</v>
      </c>
    </row>
    <row r="11" spans="1:10" x14ac:dyDescent="0.25">
      <c r="A11" t="s">
        <v>21</v>
      </c>
      <c r="B11" t="s">
        <v>21</v>
      </c>
      <c r="C11">
        <v>4</v>
      </c>
      <c r="D11">
        <v>7.9989999999999997</v>
      </c>
      <c r="E11">
        <v>433.74</v>
      </c>
      <c r="F11">
        <v>560</v>
      </c>
      <c r="G11">
        <v>126.26</v>
      </c>
      <c r="H11">
        <v>22.546428571428571</v>
      </c>
      <c r="I11">
        <v>29.109604832388069</v>
      </c>
      <c r="J11" t="s">
        <v>99</v>
      </c>
    </row>
    <row r="12" spans="1:10" x14ac:dyDescent="0.25">
      <c r="A12" t="s">
        <v>21</v>
      </c>
      <c r="B12" t="s">
        <v>21</v>
      </c>
      <c r="C12">
        <v>8</v>
      </c>
      <c r="D12">
        <v>19.998999999999999</v>
      </c>
      <c r="E12">
        <v>423.54</v>
      </c>
      <c r="F12">
        <v>540</v>
      </c>
      <c r="G12">
        <v>116.46</v>
      </c>
      <c r="H12">
        <v>21.566666666666659</v>
      </c>
      <c r="I12">
        <v>27.4968125796855</v>
      </c>
      <c r="J12" t="s">
        <v>100</v>
      </c>
    </row>
    <row r="13" spans="1:10" x14ac:dyDescent="0.25">
      <c r="A13" t="s">
        <v>21</v>
      </c>
      <c r="B13" t="s">
        <v>21</v>
      </c>
      <c r="C13">
        <v>20</v>
      </c>
      <c r="E13">
        <v>413.8</v>
      </c>
      <c r="F13">
        <v>520</v>
      </c>
      <c r="G13">
        <v>106.2</v>
      </c>
      <c r="H13">
        <v>20.42307692307692</v>
      </c>
      <c r="I13">
        <v>25.664572257129041</v>
      </c>
      <c r="J13" t="s">
        <v>22</v>
      </c>
    </row>
    <row r="14" spans="1:10" x14ac:dyDescent="0.25">
      <c r="A14" t="s">
        <v>101</v>
      </c>
      <c r="B14" t="s">
        <v>9</v>
      </c>
      <c r="C14">
        <v>0</v>
      </c>
      <c r="D14">
        <v>4.2990000000000004</v>
      </c>
      <c r="E14">
        <v>461.88</v>
      </c>
      <c r="F14">
        <v>560</v>
      </c>
      <c r="G14">
        <v>98.12</v>
      </c>
      <c r="H14">
        <v>17.521428571428569</v>
      </c>
      <c r="I14">
        <v>21.24361305966918</v>
      </c>
      <c r="J14" t="s">
        <v>102</v>
      </c>
    </row>
    <row r="15" spans="1:10" x14ac:dyDescent="0.25">
      <c r="A15" t="s">
        <v>101</v>
      </c>
      <c r="B15" t="s">
        <v>9</v>
      </c>
      <c r="C15">
        <v>4.3</v>
      </c>
      <c r="D15">
        <v>7.0990000000000002</v>
      </c>
      <c r="E15">
        <v>437.44</v>
      </c>
      <c r="F15">
        <v>540</v>
      </c>
      <c r="G15">
        <v>102.56</v>
      </c>
      <c r="H15">
        <v>18.99259259259259</v>
      </c>
      <c r="I15">
        <v>23.445501097293349</v>
      </c>
      <c r="J15" t="s">
        <v>103</v>
      </c>
    </row>
    <row r="16" spans="1:10" x14ac:dyDescent="0.25">
      <c r="A16" t="s">
        <v>101</v>
      </c>
      <c r="B16" t="s">
        <v>9</v>
      </c>
      <c r="C16">
        <v>7.1</v>
      </c>
      <c r="D16">
        <v>16.998999999999999</v>
      </c>
      <c r="E16">
        <v>424.71</v>
      </c>
      <c r="F16">
        <v>520</v>
      </c>
      <c r="G16">
        <v>95.29000000000002</v>
      </c>
      <c r="H16">
        <v>18.32500000000001</v>
      </c>
      <c r="I16">
        <v>22.436486072849711</v>
      </c>
      <c r="J16" t="s">
        <v>104</v>
      </c>
    </row>
    <row r="17" spans="1:10" x14ac:dyDescent="0.25">
      <c r="A17" t="s">
        <v>101</v>
      </c>
      <c r="B17" t="s">
        <v>9</v>
      </c>
      <c r="C17">
        <v>17</v>
      </c>
      <c r="E17">
        <v>389.43</v>
      </c>
      <c r="F17">
        <v>500</v>
      </c>
      <c r="G17">
        <v>110.57</v>
      </c>
      <c r="H17">
        <v>22.114000000000001</v>
      </c>
      <c r="I17">
        <v>28.392779190098349</v>
      </c>
      <c r="J17" t="s">
        <v>105</v>
      </c>
    </row>
    <row r="18" spans="1:10" x14ac:dyDescent="0.25">
      <c r="A18" t="s">
        <v>106</v>
      </c>
      <c r="B18" t="s">
        <v>14</v>
      </c>
      <c r="C18">
        <v>0</v>
      </c>
      <c r="D18">
        <v>6.6989999999999998</v>
      </c>
      <c r="E18">
        <v>392.24</v>
      </c>
      <c r="F18">
        <v>480</v>
      </c>
      <c r="G18">
        <v>87.759999999999991</v>
      </c>
      <c r="H18">
        <v>18.283333333333331</v>
      </c>
      <c r="I18">
        <v>22.374056699979601</v>
      </c>
      <c r="J18" t="s">
        <v>107</v>
      </c>
    </row>
    <row r="19" spans="1:10" x14ac:dyDescent="0.25">
      <c r="A19" t="s">
        <v>106</v>
      </c>
      <c r="B19" t="s">
        <v>14</v>
      </c>
      <c r="C19">
        <v>6.7</v>
      </c>
      <c r="D19">
        <v>13.298999999999999</v>
      </c>
      <c r="E19">
        <v>373.55</v>
      </c>
      <c r="F19">
        <v>460</v>
      </c>
      <c r="G19">
        <v>86.449999999999989</v>
      </c>
      <c r="H19">
        <v>18.793478260869559</v>
      </c>
      <c r="I19">
        <v>23.142818899745681</v>
      </c>
      <c r="J19" t="s">
        <v>108</v>
      </c>
    </row>
    <row r="20" spans="1:10" x14ac:dyDescent="0.25">
      <c r="A20" t="s">
        <v>106</v>
      </c>
      <c r="B20" t="s">
        <v>14</v>
      </c>
      <c r="C20">
        <v>13.3</v>
      </c>
      <c r="D20">
        <v>23.998999999999999</v>
      </c>
      <c r="E20">
        <v>355.77</v>
      </c>
      <c r="F20">
        <v>440</v>
      </c>
      <c r="G20">
        <v>84.230000000000018</v>
      </c>
      <c r="H20">
        <v>19.143181818181819</v>
      </c>
      <c r="I20">
        <v>23.675408269387528</v>
      </c>
      <c r="J20" t="s">
        <v>109</v>
      </c>
    </row>
    <row r="21" spans="1:10" x14ac:dyDescent="0.25">
      <c r="A21" t="s">
        <v>106</v>
      </c>
      <c r="B21" t="s">
        <v>14</v>
      </c>
      <c r="C21">
        <v>24</v>
      </c>
      <c r="E21">
        <v>325.58</v>
      </c>
      <c r="F21">
        <v>420</v>
      </c>
      <c r="G21">
        <v>94.420000000000016</v>
      </c>
      <c r="H21">
        <v>22.480952380952381</v>
      </c>
      <c r="I21">
        <v>29.000552859512261</v>
      </c>
      <c r="J21" t="s">
        <v>110</v>
      </c>
    </row>
    <row r="22" spans="1:10" x14ac:dyDescent="0.25">
      <c r="A22" t="s">
        <v>111</v>
      </c>
      <c r="B22" t="s">
        <v>11</v>
      </c>
      <c r="C22">
        <v>0</v>
      </c>
      <c r="D22">
        <v>5.9989999999999997</v>
      </c>
      <c r="E22">
        <v>392.24</v>
      </c>
      <c r="F22">
        <v>480</v>
      </c>
      <c r="G22">
        <v>87.759999999999991</v>
      </c>
      <c r="H22">
        <v>18.283333333333331</v>
      </c>
      <c r="I22">
        <v>22.374056699979601</v>
      </c>
      <c r="J22" t="s">
        <v>91</v>
      </c>
    </row>
    <row r="23" spans="1:10" x14ac:dyDescent="0.25">
      <c r="A23" t="s">
        <v>111</v>
      </c>
      <c r="B23" t="s">
        <v>11</v>
      </c>
      <c r="C23">
        <v>6</v>
      </c>
      <c r="D23">
        <v>9.9990000000000006</v>
      </c>
      <c r="E23">
        <v>373.55</v>
      </c>
      <c r="F23">
        <v>460</v>
      </c>
      <c r="G23">
        <v>86.449999999999989</v>
      </c>
      <c r="H23">
        <v>18.793478260869559</v>
      </c>
      <c r="I23">
        <v>23.142818899745681</v>
      </c>
      <c r="J23" t="s">
        <v>92</v>
      </c>
    </row>
    <row r="24" spans="1:10" x14ac:dyDescent="0.25">
      <c r="A24" t="s">
        <v>111</v>
      </c>
      <c r="B24" t="s">
        <v>11</v>
      </c>
      <c r="C24">
        <v>10</v>
      </c>
      <c r="D24">
        <v>18.998999999999999</v>
      </c>
      <c r="E24">
        <v>355.77</v>
      </c>
      <c r="F24">
        <v>440</v>
      </c>
      <c r="G24">
        <v>84.230000000000018</v>
      </c>
      <c r="H24">
        <v>19.143181818181819</v>
      </c>
      <c r="I24">
        <v>23.675408269387528</v>
      </c>
      <c r="J24" t="s">
        <v>112</v>
      </c>
    </row>
    <row r="25" spans="1:10" x14ac:dyDescent="0.25">
      <c r="A25" t="s">
        <v>111</v>
      </c>
      <c r="B25" t="s">
        <v>11</v>
      </c>
      <c r="C25">
        <v>19</v>
      </c>
      <c r="E25">
        <v>325.58</v>
      </c>
      <c r="F25">
        <v>420</v>
      </c>
      <c r="G25">
        <v>94.420000000000016</v>
      </c>
      <c r="H25">
        <v>22.480952380952381</v>
      </c>
      <c r="I25">
        <v>29.000552859512261</v>
      </c>
      <c r="J25" t="s">
        <v>113</v>
      </c>
    </row>
    <row r="26" spans="1:10" x14ac:dyDescent="0.25">
      <c r="A26" t="s">
        <v>19</v>
      </c>
      <c r="B26" t="s">
        <v>19</v>
      </c>
      <c r="C26">
        <v>0</v>
      </c>
      <c r="D26">
        <v>59.999000000000002</v>
      </c>
      <c r="E26">
        <v>182.7</v>
      </c>
      <c r="F26">
        <v>205</v>
      </c>
      <c r="G26">
        <v>22.300000000000011</v>
      </c>
      <c r="H26">
        <v>10.878048780487809</v>
      </c>
      <c r="I26">
        <v>12.20580186097428</v>
      </c>
      <c r="J26" t="s">
        <v>114</v>
      </c>
    </row>
    <row r="27" spans="1:10" x14ac:dyDescent="0.25">
      <c r="A27" t="s">
        <v>19</v>
      </c>
      <c r="B27" t="s">
        <v>19</v>
      </c>
      <c r="C27">
        <v>60</v>
      </c>
      <c r="E27">
        <v>182.7</v>
      </c>
      <c r="F27">
        <v>200</v>
      </c>
      <c r="G27">
        <v>17.300000000000011</v>
      </c>
      <c r="H27">
        <v>8.6500000000000057</v>
      </c>
      <c r="I27">
        <v>9.4690749863163717</v>
      </c>
      <c r="J27" t="s">
        <v>20</v>
      </c>
    </row>
    <row r="28" spans="1:10" x14ac:dyDescent="0.25">
      <c r="A28" t="s">
        <v>115</v>
      </c>
      <c r="B28" t="s">
        <v>115</v>
      </c>
      <c r="C28">
        <v>0</v>
      </c>
      <c r="D28">
        <v>59.999000000000002</v>
      </c>
      <c r="E28">
        <v>214.5</v>
      </c>
      <c r="F28">
        <v>235</v>
      </c>
      <c r="G28">
        <v>20.5</v>
      </c>
      <c r="H28">
        <v>8.7234042553191493</v>
      </c>
      <c r="I28">
        <v>9.5571095571095572</v>
      </c>
      <c r="J28" t="s">
        <v>114</v>
      </c>
    </row>
    <row r="29" spans="1:10" x14ac:dyDescent="0.25">
      <c r="A29" t="s">
        <v>115</v>
      </c>
      <c r="B29" t="s">
        <v>115</v>
      </c>
      <c r="C29">
        <v>60</v>
      </c>
      <c r="E29">
        <v>214.5</v>
      </c>
      <c r="F29">
        <v>230</v>
      </c>
      <c r="G29">
        <v>15.5</v>
      </c>
      <c r="H29">
        <v>6.7391304347826084</v>
      </c>
      <c r="I29">
        <v>7.2261072261072261</v>
      </c>
      <c r="J29" t="s">
        <v>20</v>
      </c>
    </row>
    <row r="30" spans="1:10" x14ac:dyDescent="0.25">
      <c r="A30" t="s">
        <v>23</v>
      </c>
      <c r="B30" t="s">
        <v>23</v>
      </c>
      <c r="C30">
        <v>0</v>
      </c>
      <c r="D30">
        <v>59.999000000000002</v>
      </c>
      <c r="E30">
        <v>29.34</v>
      </c>
      <c r="F30">
        <v>35</v>
      </c>
      <c r="G30">
        <v>5.66</v>
      </c>
      <c r="H30">
        <v>16.171428571428571</v>
      </c>
      <c r="I30">
        <v>19.29107021131561</v>
      </c>
      <c r="J30" t="s">
        <v>114</v>
      </c>
    </row>
    <row r="31" spans="1:10" x14ac:dyDescent="0.25">
      <c r="A31" t="s">
        <v>23</v>
      </c>
      <c r="B31" t="s">
        <v>23</v>
      </c>
      <c r="C31">
        <v>60</v>
      </c>
      <c r="E31">
        <v>29.34</v>
      </c>
      <c r="F31">
        <v>30</v>
      </c>
      <c r="G31">
        <v>0.66000000000000014</v>
      </c>
      <c r="H31">
        <v>2.2000000000000011</v>
      </c>
      <c r="I31">
        <v>2.2494887525562381</v>
      </c>
      <c r="J31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Inventario</vt:lpstr>
      <vt:lpstr>Cotizador_Rendimientos</vt:lpstr>
      <vt:lpstr>Cat_Productos</vt:lpstr>
      <vt:lpstr>Clientes</vt:lpstr>
      <vt:lpstr>Historial_Cotizaciones</vt:lpstr>
      <vt:lpstr>Escalas_Precios_KG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 de Windows</cp:lastModifiedBy>
  <dcterms:created xsi:type="dcterms:W3CDTF">2026-09-19T22:08:47Z</dcterms:created>
  <dcterms:modified xsi:type="dcterms:W3CDTF">2026-10-31T21:04:12Z</dcterms:modified>
</cp:coreProperties>
</file>